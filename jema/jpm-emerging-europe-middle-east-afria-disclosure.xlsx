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280" yWindow="-120" windowWidth="38640" windowHeight="21240" tabRatio="906" firstSheet="0" activeTab="0" autoFilterDateGrouping="1"/>
  </bookViews>
  <sheets>
    <sheet name="October 2025" sheetId="1" state="visible" r:id="rId1"/>
    <sheet name="September 2025" sheetId="2" state="visible" r:id="rId2"/>
    <sheet name="August 2025" sheetId="3" state="visible" r:id="rId3"/>
    <sheet name="July 2025" sheetId="4" state="visible" r:id="rId4"/>
    <sheet name="June 2025" sheetId="5" state="visible" r:id="rId5"/>
    <sheet name="May 2025" sheetId="6" state="visible" r:id="rId6"/>
    <sheet name="April 2025" sheetId="7" state="visible" r:id="rId7"/>
    <sheet name="March 2025" sheetId="8" state="visible" r:id="rId8"/>
    <sheet name="February 2025" sheetId="9" state="visible" r:id="rId9"/>
    <sheet name="January 2025" sheetId="10" state="visible" r:id="rId10"/>
    <sheet name="December 2024" sheetId="11" state="visible" r:id="rId11"/>
    <sheet name="November 2024" sheetId="12" state="visible" r:id="rId12"/>
    <sheet name="October 2024" sheetId="13" state="visible" r:id="rId13"/>
    <sheet name="September 2024" sheetId="14" state="visible" r:id="rId14"/>
    <sheet name="August 2024" sheetId="15" state="visible" r:id="rId15"/>
    <sheet name="July 2024" sheetId="16" state="visible" r:id="rId16"/>
    <sheet name="June 2024" sheetId="17" state="visible" r:id="rId17"/>
    <sheet name="May 2024" sheetId="18" state="visible" r:id="rId18"/>
    <sheet name="April 2024" sheetId="19" state="visible" r:id="rId19"/>
    <sheet name="March 2024" sheetId="20" state="visible" r:id="rId20"/>
    <sheet name="February 2024" sheetId="21" state="visible" r:id="rId21"/>
    <sheet name="January 2024" sheetId="22" state="visible" r:id="rId22"/>
    <sheet name="December 2023" sheetId="23" state="visible" r:id="rId23"/>
    <sheet name="November 2023" sheetId="24" state="visible" r:id="rId24"/>
    <sheet name="October 2023" sheetId="25" state="visible" r:id="rId25"/>
    <sheet name="September 2023" sheetId="26" state="visible" r:id="rId26"/>
    <sheet name="August 2023" sheetId="27" state="visible" r:id="rId27"/>
    <sheet name="July 2023" sheetId="28" state="visible" r:id="rId28"/>
    <sheet name="June 2023" sheetId="29" state="visible" r:id="rId29"/>
    <sheet name="May 2023" sheetId="30" state="visible" r:id="rId30"/>
    <sheet name="April 2023" sheetId="31" state="visible" r:id="rId31"/>
    <sheet name="March 2023" sheetId="32" state="visible" r:id="rId32"/>
    <sheet name="February 2023" sheetId="33" state="visible" r:id="rId33"/>
    <sheet name="January 2023" sheetId="34" state="visible" r:id="rId34"/>
    <sheet name="December 2022" sheetId="35" state="visible" r:id="rId35"/>
    <sheet name="November 2022" sheetId="36" state="visible" r:id="rId36"/>
    <sheet name="October 2022" sheetId="37" state="visible" r:id="rId37"/>
    <sheet name="September 2022" sheetId="38" state="visible" r:id="rId38"/>
    <sheet name="August 2022" sheetId="39" state="visible" r:id="rId39"/>
    <sheet name="July 2022" sheetId="40" state="visible" r:id="rId40"/>
    <sheet name="June 2022" sheetId="41" state="visible" r:id="rId41"/>
    <sheet name="May 2022" sheetId="42" state="visible" r:id="rId42"/>
    <sheet name="April 2022" sheetId="43" state="visible" r:id="rId43"/>
    <sheet name="March 2022" sheetId="44" state="visible" r:id="rId44"/>
  </sheets>
  <definedNames/>
  <calcPr calcId="191029" fullCalcOnLoad="1"/>
</workbook>
</file>

<file path=xl/styles.xml><?xml version="1.0" encoding="utf-8"?>
<styleSheet xmlns="http://schemas.openxmlformats.org/spreadsheetml/2006/main">
  <numFmts count="3">
    <numFmt numFmtId="164" formatCode="#,##0.000"/>
    <numFmt numFmtId="165" formatCode="0.0%"/>
    <numFmt numFmtId="166" formatCode="_-* #,##0_-;\-* #,##0_-;_-* &quot;-&quot;??_-;_-@_-"/>
  </numFmts>
  <fonts count="11">
    <font>
      <name val="Arial"/>
      <family val="2"/>
      <color theme="1"/>
      <sz val="10"/>
    </font>
    <font>
      <name val="Arial"/>
      <family val="2"/>
      <color theme="1"/>
      <sz val="10"/>
    </font>
    <font>
      <name val="MetaPlusNormal-Roman"/>
      <b val="1"/>
      <sz val="10"/>
    </font>
    <font>
      <name val="Tahoma"/>
      <family val="2"/>
      <sz val="10"/>
    </font>
    <font>
      <name val="Arial"/>
      <family val="2"/>
      <sz val="8"/>
    </font>
    <font>
      <name val="Arial"/>
      <family val="2"/>
      <b val="1"/>
      <sz val="10"/>
    </font>
    <font>
      <name val="Arial"/>
      <family val="2"/>
      <sz val="10"/>
    </font>
    <font>
      <name val="Arial"/>
      <family val="2"/>
      <b val="1"/>
      <sz val="9"/>
    </font>
    <font>
      <name val="Arial"/>
      <family val="2"/>
      <b val="1"/>
      <sz val="8"/>
    </font>
    <font>
      <name val="Arial"/>
      <family val="2"/>
      <i val="1"/>
      <sz val="8"/>
    </font>
    <font>
      <name val="Arial"/>
      <family val="2"/>
      <b val="1"/>
      <i val="1"/>
      <sz val="8"/>
    </font>
  </fonts>
  <fills count="3">
    <fill>
      <patternFill/>
    </fill>
    <fill>
      <patternFill patternType="gray125"/>
    </fill>
    <fill>
      <patternFill patternType="solid">
        <fgColor theme="0"/>
        <bgColor indexed="64"/>
      </patternFill>
    </fill>
  </fills>
  <borders count="11">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4">
    <xf numFmtId="0" fontId="1" fillId="0" borderId="0"/>
    <xf numFmtId="9" fontId="1" fillId="0" borderId="0"/>
    <xf numFmtId="0" fontId="3" fillId="0" borderId="0"/>
    <xf numFmtId="43" fontId="1" fillId="0" borderId="0"/>
  </cellStyleXfs>
  <cellXfs count="68">
    <xf numFmtId="0" fontId="0" fillId="0" borderId="0" pivotButton="0" quotePrefix="0" xfId="0"/>
    <xf numFmtId="0" fontId="2" fillId="0" borderId="0" pivotButton="0" quotePrefix="0" xfId="0"/>
    <xf numFmtId="0" fontId="4" fillId="2" borderId="0" applyAlignment="1" pivotButton="0" quotePrefix="0" xfId="2">
      <alignment horizontal="left" indent="1"/>
    </xf>
    <xf numFmtId="0" fontId="4" fillId="2" borderId="0" pivotButton="0" quotePrefix="0" xfId="2"/>
    <xf numFmtId="164" fontId="5" fillId="2" borderId="0" applyAlignment="1" pivotButton="0" quotePrefix="0" xfId="2">
      <alignment horizontal="left"/>
    </xf>
    <xf numFmtId="0" fontId="0" fillId="2" borderId="0" applyAlignment="1" pivotButton="0" quotePrefix="0" xfId="0">
      <alignment wrapText="1"/>
    </xf>
    <xf numFmtId="0" fontId="4" fillId="2" borderId="0" applyAlignment="1" pivotButton="0" quotePrefix="0" xfId="2">
      <alignment horizontal="left"/>
    </xf>
    <xf numFmtId="0" fontId="7" fillId="2" borderId="9" applyAlignment="1" pivotButton="0" quotePrefix="0" xfId="2">
      <alignment horizontal="left" vertical="center" wrapText="1"/>
    </xf>
    <xf numFmtId="0" fontId="7" fillId="2" borderId="9" applyAlignment="1" pivotButton="0" quotePrefix="0" xfId="2">
      <alignment vertical="center" wrapText="1"/>
    </xf>
    <xf numFmtId="49" fontId="7" fillId="2" borderId="9" applyAlignment="1" pivotButton="0" quotePrefix="0" xfId="2">
      <alignment horizontal="right" vertical="center" wrapText="1"/>
    </xf>
    <xf numFmtId="0" fontId="7" fillId="2" borderId="9" applyAlignment="1" pivotButton="0" quotePrefix="0" xfId="2">
      <alignment horizontal="right" vertical="center" wrapText="1"/>
    </xf>
    <xf numFmtId="49" fontId="7" fillId="2" borderId="9" applyAlignment="1" pivotButton="0" quotePrefix="0" xfId="2">
      <alignment horizontal="left" vertical="center"/>
    </xf>
    <xf numFmtId="0" fontId="7" fillId="2" borderId="0" applyAlignment="1" pivotButton="0" quotePrefix="0" xfId="2">
      <alignment horizontal="left" vertical="center" wrapText="1"/>
    </xf>
    <xf numFmtId="0" fontId="7" fillId="2" borderId="0" applyAlignment="1" pivotButton="0" quotePrefix="0" xfId="2">
      <alignment vertical="center" wrapText="1"/>
    </xf>
    <xf numFmtId="49" fontId="7" fillId="2" borderId="0" applyAlignment="1" pivotButton="0" quotePrefix="0" xfId="2">
      <alignment horizontal="right" vertical="center" wrapText="1"/>
    </xf>
    <xf numFmtId="0" fontId="7" fillId="2" borderId="0" applyAlignment="1" pivotButton="0" quotePrefix="0" xfId="2">
      <alignment horizontal="right" vertical="center" wrapText="1"/>
    </xf>
    <xf numFmtId="49" fontId="7" fillId="2" borderId="0" applyAlignment="1" pivotButton="0" quotePrefix="0" xfId="2">
      <alignment horizontal="left" vertical="center"/>
    </xf>
    <xf numFmtId="164" fontId="4" fillId="2" borderId="0" applyAlignment="1" pivotButton="0" quotePrefix="0" xfId="2">
      <alignment horizontal="right"/>
    </xf>
    <xf numFmtId="4" fontId="4" fillId="2" borderId="0" applyAlignment="1" pivotButton="0" quotePrefix="0" xfId="2">
      <alignment horizontal="right"/>
    </xf>
    <xf numFmtId="10" fontId="4" fillId="2" borderId="0" applyAlignment="1" pivotButton="0" quotePrefix="0" xfId="2">
      <alignment horizontal="right"/>
    </xf>
    <xf numFmtId="49" fontId="4" fillId="2" borderId="0" applyAlignment="1" pivotButton="0" quotePrefix="0" xfId="2">
      <alignment horizontal="right"/>
    </xf>
    <xf numFmtId="164" fontId="8" fillId="2" borderId="0" applyAlignment="1" pivotButton="0" quotePrefix="0" xfId="2">
      <alignment horizontal="left"/>
    </xf>
    <xf numFmtId="4" fontId="8" fillId="2" borderId="9" applyAlignment="1" pivotButton="0" quotePrefix="0" xfId="2">
      <alignment horizontal="right"/>
    </xf>
    <xf numFmtId="165" fontId="8" fillId="2" borderId="0" applyAlignment="1" pivotButton="0" quotePrefix="0" xfId="2">
      <alignment horizontal="right"/>
    </xf>
    <xf numFmtId="4" fontId="4" fillId="2" borderId="0" pivotButton="0" quotePrefix="0" xfId="2"/>
    <xf numFmtId="9" fontId="4" fillId="2" borderId="0" pivotButton="0" quotePrefix="0" xfId="1"/>
    <xf numFmtId="4" fontId="8" fillId="2" borderId="0" applyAlignment="1" pivotButton="0" quotePrefix="0" xfId="2">
      <alignment horizontal="right"/>
    </xf>
    <xf numFmtId="0" fontId="10" fillId="2" borderId="0" applyAlignment="1" pivotButton="0" quotePrefix="0" xfId="2">
      <alignment horizontal="left" indent="3"/>
    </xf>
    <xf numFmtId="166" fontId="4" fillId="2" borderId="0" applyAlignment="1" pivotButton="0" quotePrefix="0" xfId="3">
      <alignment horizontal="right"/>
    </xf>
    <xf numFmtId="4" fontId="10" fillId="2" borderId="0" applyAlignment="1" pivotButton="0" quotePrefix="0" xfId="2">
      <alignment horizontal="right"/>
    </xf>
    <xf numFmtId="166" fontId="10" fillId="2" borderId="0" applyAlignment="1" pivotButton="0" quotePrefix="0" xfId="3">
      <alignment horizontal="right"/>
    </xf>
    <xf numFmtId="10" fontId="8" fillId="2" borderId="0" applyAlignment="1" pivotButton="0" quotePrefix="0" xfId="2">
      <alignment horizontal="right"/>
    </xf>
    <xf numFmtId="165" fontId="8" fillId="2" borderId="0" applyAlignment="1" pivotButton="0" quotePrefix="0" xfId="2">
      <alignment horizontal="right"/>
    </xf>
    <xf numFmtId="4" fontId="9" fillId="2" borderId="0" applyAlignment="1" pivotButton="0" quotePrefix="0" xfId="2">
      <alignment horizontal="right"/>
    </xf>
    <xf numFmtId="49" fontId="8" fillId="2" borderId="0" applyAlignment="1" pivotButton="0" quotePrefix="0" xfId="2">
      <alignment horizontal="right"/>
    </xf>
    <xf numFmtId="0" fontId="8" fillId="2" borderId="0" pivotButton="0" quotePrefix="0" xfId="2"/>
    <xf numFmtId="10" fontId="4" fillId="2" borderId="10" applyAlignment="1" pivotButton="0" quotePrefix="0" xfId="2">
      <alignment horizontal="right"/>
    </xf>
    <xf numFmtId="0" fontId="4" fillId="2" borderId="0" applyAlignment="1" pivotButton="0" quotePrefix="0" xfId="2">
      <alignment horizontal="right"/>
    </xf>
    <xf numFmtId="0" fontId="4" fillId="2" borderId="0" applyAlignment="1" pivotButton="0" quotePrefix="0" xfId="2">
      <alignment horizontal="right"/>
    </xf>
    <xf numFmtId="4" fontId="8" fillId="2" borderId="0" applyAlignment="1" pivotButton="0" quotePrefix="0" xfId="2">
      <alignment horizontal="right"/>
    </xf>
    <xf numFmtId="166" fontId="4" fillId="2" borderId="0" pivotButton="0" quotePrefix="0" xfId="2"/>
    <xf numFmtId="166" fontId="9" fillId="2" borderId="0" applyAlignment="1" pivotButton="0" quotePrefix="0" xfId="3">
      <alignment horizontal="right"/>
    </xf>
    <xf numFmtId="0" fontId="0" fillId="0" borderId="0" pivotButton="0" quotePrefix="0" xfId="0"/>
    <xf numFmtId="0" fontId="4" fillId="0" borderId="0" applyAlignment="1" pivotButton="0" quotePrefix="0" xfId="2">
      <alignment horizontal="left" indent="1"/>
    </xf>
    <xf numFmtId="0" fontId="4" fillId="2" borderId="0" applyAlignment="1" pivotButton="0" quotePrefix="0" xfId="2">
      <alignment wrapText="1"/>
    </xf>
    <xf numFmtId="0" fontId="4" fillId="0" borderId="0" applyAlignment="1" pivotButton="0" quotePrefix="0" xfId="2">
      <alignment horizontal="left" indent="1"/>
    </xf>
    <xf numFmtId="164" fontId="4" fillId="0" borderId="0" applyAlignment="1" pivotButton="0" quotePrefix="0" xfId="2">
      <alignment horizontal="right"/>
    </xf>
    <xf numFmtId="4" fontId="4" fillId="0" borderId="0" applyAlignment="1" pivotButton="0" quotePrefix="0" xfId="2">
      <alignment horizontal="right"/>
    </xf>
    <xf numFmtId="4" fontId="0" fillId="0" borderId="0" pivotButton="0" quotePrefix="0" xfId="0"/>
    <xf numFmtId="164" fontId="6" fillId="2" borderId="1" applyAlignment="1" pivotButton="0" quotePrefix="0" xfId="2">
      <alignment horizontal="left" wrapText="1"/>
    </xf>
    <xf numFmtId="164" fontId="6" fillId="2" borderId="2" applyAlignment="1" pivotButton="0" quotePrefix="0" xfId="2">
      <alignment horizontal="left" wrapText="1"/>
    </xf>
    <xf numFmtId="164" fontId="6" fillId="2" borderId="3" applyAlignment="1" pivotButton="0" quotePrefix="0" xfId="2">
      <alignment horizontal="left" wrapText="1"/>
    </xf>
    <xf numFmtId="164" fontId="6" fillId="2" borderId="4" applyAlignment="1" pivotButton="0" quotePrefix="0" xfId="2">
      <alignment horizontal="left" wrapText="1"/>
    </xf>
    <xf numFmtId="164" fontId="6" fillId="2" borderId="0" applyAlignment="1" pivotButton="0" quotePrefix="0" xfId="2">
      <alignment horizontal="left" wrapText="1"/>
    </xf>
    <xf numFmtId="164" fontId="6" fillId="2" borderId="5" applyAlignment="1" pivotButton="0" quotePrefix="0" xfId="2">
      <alignment horizontal="left" wrapText="1"/>
    </xf>
    <xf numFmtId="164" fontId="6" fillId="2" borderId="6" applyAlignment="1" pivotButton="0" quotePrefix="0" xfId="2">
      <alignment horizontal="left" wrapText="1"/>
    </xf>
    <xf numFmtId="164" fontId="6" fillId="2" borderId="7" applyAlignment="1" pivotButton="0" quotePrefix="0" xfId="2">
      <alignment horizontal="left" wrapText="1"/>
    </xf>
    <xf numFmtId="164" fontId="6" fillId="2" borderId="8" applyAlignment="1" pivotButton="0" quotePrefix="0" xfId="2">
      <alignment horizontal="left" wrapText="1"/>
    </xf>
    <xf numFmtId="0" fontId="4" fillId="2" borderId="0" applyAlignment="1" pivotButton="0" quotePrefix="0" xfId="2">
      <alignment horizontal="center" wrapText="1"/>
    </xf>
    <xf numFmtId="164" fontId="6" fillId="2" borderId="0" applyAlignment="1" pivotButton="0" quotePrefix="0" xfId="2">
      <alignment horizontal="left" wrapText="1"/>
    </xf>
    <xf numFmtId="164" fontId="6" fillId="2" borderId="10" applyAlignment="1" pivotButton="0" quotePrefix="0" xfId="2">
      <alignment horizontal="left"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cellXfs>
  <cellStyles count="4">
    <cellStyle name="Normal" xfId="0" builtinId="0"/>
    <cellStyle name="Percent" xfId="1" builtinId="5"/>
    <cellStyle name="Normal_Apollo_Template1" xfId="2"/>
    <cellStyle name="Comma" xfId="3" builtinId="3"/>
  </cellStyles>
  <dxfs count="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119"/>
  <sheetViews>
    <sheetView tabSelected="1" workbookViewId="0">
      <selection activeCell="A1" sqref="A1"/>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October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1161252.36</v>
      </c>
      <c r="D12" s="19">
        <f>C12/$C$112</f>
        <v/>
      </c>
      <c r="E12" s="20" t="inlineStr">
        <is>
          <t>B12LZH9</t>
        </is>
      </c>
    </row>
    <row r="13">
      <c r="A13" s="41" t="n">
        <v>33759</v>
      </c>
      <c r="B13" s="2" t="inlineStr">
        <is>
          <t>GOLD FIELDS LTD COMMON STOCK ZAR 50</t>
        </is>
      </c>
      <c r="C13" s="18" t="n">
        <v>1005136.59</v>
      </c>
      <c r="D13" s="19">
        <f>C13/$C$112</f>
        <v/>
      </c>
      <c r="E13" s="20" t="inlineStr">
        <is>
          <t>6280215</t>
        </is>
      </c>
    </row>
    <row r="14">
      <c r="A14" s="41" t="n">
        <v>15260</v>
      </c>
      <c r="B14" s="2" t="inlineStr">
        <is>
          <t>NASPERS LTD COMMON STOCK ZAR 2</t>
        </is>
      </c>
      <c r="C14" s="18" t="n">
        <v>817557.01</v>
      </c>
      <c r="D14" s="19">
        <f>C14/$C$112</f>
        <v/>
      </c>
      <c r="E14" s="20" t="inlineStr">
        <is>
          <t>BV2FFX7</t>
        </is>
      </c>
    </row>
    <row r="15">
      <c r="A15" s="41" t="n">
        <v>91310</v>
      </c>
      <c r="B15" s="2" t="inlineStr">
        <is>
          <t>THE SAUDI NATIONAL BANK</t>
        </is>
      </c>
      <c r="C15" s="18" t="n">
        <v>739058.92</v>
      </c>
      <c r="D15" s="19">
        <f>C15/$C$112</f>
        <v/>
      </c>
      <c r="E15" s="20" t="inlineStr">
        <is>
          <t>BSHYYN1</t>
        </is>
      </c>
    </row>
    <row r="16">
      <c r="A16" s="41" t="n">
        <v>173053</v>
      </c>
      <c r="B16" s="2" t="inlineStr">
        <is>
          <t>QATAR NATIONAL BANK QPSC COMMON STOCK QAR 1</t>
        </is>
      </c>
      <c r="C16" s="18" t="n">
        <v>666711.58</v>
      </c>
      <c r="D16" s="19">
        <f>C16/$C$112</f>
        <v/>
      </c>
      <c r="E16" s="20" t="inlineStr">
        <is>
          <t>6148197</t>
        </is>
      </c>
    </row>
    <row r="17">
      <c r="A17" s="41" t="n">
        <v>10590</v>
      </c>
      <c r="B17" s="2" t="inlineStr">
        <is>
          <t>KASPI.KZ JSC - ADR (SPONSORED) LEVEL III</t>
        </is>
      </c>
      <c r="C17" s="18" t="n">
        <v>602183.58</v>
      </c>
      <c r="D17" s="19">
        <f>C17/$C$112</f>
        <v/>
      </c>
      <c r="E17" s="20" t="inlineStr">
        <is>
          <t>BJY21K1</t>
        </is>
      </c>
    </row>
    <row r="18">
      <c r="A18" s="41" t="n">
        <v>201080</v>
      </c>
      <c r="B18" s="2" t="inlineStr">
        <is>
          <t>EMAAR PROPERTIES PJSC COMMON STOCK AED 1</t>
        </is>
      </c>
      <c r="C18" s="18" t="n">
        <v>591692.98</v>
      </c>
      <c r="D18" s="19">
        <f>C18/$C$112</f>
        <v/>
      </c>
      <c r="E18" s="20" t="inlineStr">
        <is>
          <t>B01RM25</t>
        </is>
      </c>
    </row>
    <row r="19">
      <c r="A19" s="41" t="n">
        <v>51656</v>
      </c>
      <c r="B19" s="2" t="inlineStr">
        <is>
          <t>STANDARD BANK GROUP LTD COMMON STOCK ZAR 10</t>
        </is>
      </c>
      <c r="C19" s="18" t="n">
        <v>577436.11</v>
      </c>
      <c r="D19" s="19">
        <f>C19/$C$112</f>
        <v/>
      </c>
      <c r="E19" s="20" t="inlineStr">
        <is>
          <t>B030GJ7</t>
        </is>
      </c>
    </row>
    <row r="20">
      <c r="A20" s="41" t="n">
        <v>12233</v>
      </c>
      <c r="B20" s="2" t="inlineStr">
        <is>
          <t>VALTERRA PLATINUM LTD COMMON STOCK ZAR 10</t>
        </is>
      </c>
      <c r="C20" s="18" t="n">
        <v>576665.52</v>
      </c>
      <c r="D20" s="19">
        <f>C20/$C$112</f>
        <v/>
      </c>
      <c r="E20" s="20" t="inlineStr">
        <is>
          <t>6761000</t>
        </is>
      </c>
    </row>
    <row r="21">
      <c r="A21" s="41" t="n">
        <v>211310</v>
      </c>
      <c r="B21" s="2" t="inlineStr">
        <is>
          <t>NATIONAL BANK OF KUWAIT SAKP COMMON STOCK KWD 100</t>
        </is>
      </c>
      <c r="C21" s="18" t="n">
        <v>548596.85</v>
      </c>
      <c r="D21" s="19">
        <f>C21/$C$112</f>
        <v/>
      </c>
      <c r="E21" s="20" t="inlineStr">
        <is>
          <t>6889526</t>
        </is>
      </c>
    </row>
    <row r="22">
      <c r="A22" s="41" t="n">
        <v>148327</v>
      </c>
      <c r="B22" s="2" t="inlineStr">
        <is>
          <t>FIRSTRAND LTD COMMON STOCK ZAR 1</t>
        </is>
      </c>
      <c r="C22" s="18" t="n">
        <v>535603.62</v>
      </c>
      <c r="D22" s="19">
        <f>C22/$C$112</f>
        <v/>
      </c>
      <c r="E22" s="20" t="inlineStr">
        <is>
          <t>6606996</t>
        </is>
      </c>
    </row>
    <row r="23">
      <c r="A23" s="41" t="n">
        <v>284413</v>
      </c>
      <c r="B23" s="2" t="inlineStr">
        <is>
          <t>ALDAR PROPERTIES PJSC COMMON STOCK AED 1</t>
        </is>
      </c>
      <c r="C23" s="18" t="n">
        <v>530433.75</v>
      </c>
      <c r="D23" s="19">
        <f>C23/$C$112</f>
        <v/>
      </c>
      <c r="E23" s="20" t="inlineStr">
        <is>
          <t>B0LX3Y2</t>
        </is>
      </c>
    </row>
    <row r="24">
      <c r="A24" s="41" t="n">
        <v>11905</v>
      </c>
      <c r="B24" s="2" t="inlineStr">
        <is>
          <t>NAC KAZATOMPROM JSC GDR USD</t>
        </is>
      </c>
      <c r="C24" s="18" t="n">
        <v>529171.52</v>
      </c>
      <c r="D24" s="19">
        <f>C24/$C$112</f>
        <v/>
      </c>
      <c r="E24" s="20" t="inlineStr">
        <is>
          <t>BGXQL36</t>
        </is>
      </c>
    </row>
    <row r="25">
      <c r="A25" s="41" t="n">
        <v>117334</v>
      </c>
      <c r="B25" s="2" t="inlineStr">
        <is>
          <t>ABU DHABI ISLAMIC BANK PJSC COMMON STOCK AED 1</t>
        </is>
      </c>
      <c r="C25" s="18" t="n">
        <v>515464.7</v>
      </c>
      <c r="D25" s="19">
        <f>C25/$C$112</f>
        <v/>
      </c>
      <c r="E25" s="20" t="inlineStr">
        <is>
          <t>6001728</t>
        </is>
      </c>
    </row>
    <row r="26">
      <c r="A26" s="41" t="n">
        <v>420883</v>
      </c>
      <c r="B26" s="2" t="inlineStr">
        <is>
          <t>ADNOC LOGISTICS &amp; SERVICES COMMON STOCK AED 1.983</t>
        </is>
      </c>
      <c r="C26" s="18" t="n">
        <v>500624.93</v>
      </c>
      <c r="D26" s="19">
        <f>C26/$C$112</f>
        <v/>
      </c>
      <c r="E26" s="20" t="inlineStr">
        <is>
          <t>BRBN103</t>
        </is>
      </c>
    </row>
    <row r="27">
      <c r="A27" s="41" t="n">
        <v>97375</v>
      </c>
      <c r="B27" s="2" t="inlineStr">
        <is>
          <t>SASOL LTD COMMON STOCK ZAR 0</t>
        </is>
      </c>
      <c r="C27" s="18" t="n">
        <v>460528.15</v>
      </c>
      <c r="D27" s="19">
        <f>C27/$C$112</f>
        <v/>
      </c>
      <c r="E27" s="20" t="inlineStr">
        <is>
          <t>6777450</t>
        </is>
      </c>
    </row>
    <row r="28">
      <c r="A28" s="41" t="n">
        <v>15105</v>
      </c>
      <c r="B28" s="2" t="inlineStr">
        <is>
          <t>NOVA LJUBLJANSKA BANKA DD GDR EUR</t>
        </is>
      </c>
      <c r="C28" s="18" t="n">
        <v>460453.19</v>
      </c>
      <c r="D28" s="19">
        <f>C28/$C$112</f>
        <v/>
      </c>
      <c r="E28" s="20" t="inlineStr">
        <is>
          <t>BGRPD22</t>
        </is>
      </c>
    </row>
    <row r="29">
      <c r="A29" s="41" t="n">
        <v>35872</v>
      </c>
      <c r="B29" s="2" t="inlineStr">
        <is>
          <t>HARMONY GOLD MINING CO LTD COMMON STOCK ZAR 50</t>
        </is>
      </c>
      <c r="C29" s="18" t="n">
        <v>458664.6</v>
      </c>
      <c r="D29" s="19">
        <f>C29/$C$112</f>
        <v/>
      </c>
      <c r="E29" s="20" t="inlineStr">
        <is>
          <t>6410562</t>
        </is>
      </c>
    </row>
    <row r="30">
      <c r="A30" s="41" t="n">
        <v>22162</v>
      </c>
      <c r="B30" s="2" t="inlineStr">
        <is>
          <t>HALYK SAVINGS BANK OF KAZAKHSTAN JSC GDR USD</t>
        </is>
      </c>
      <c r="C30" s="18" t="n">
        <v>449531.76</v>
      </c>
      <c r="D30" s="19">
        <f>C30/$C$112</f>
        <v/>
      </c>
      <c r="E30" s="20" t="inlineStr">
        <is>
          <t>B1KDG41</t>
        </is>
      </c>
    </row>
    <row r="31">
      <c r="A31" s="41" t="n">
        <v>42103</v>
      </c>
      <c r="B31" s="2" t="inlineStr">
        <is>
          <t>NEDBANK GROUP LTD COMMON STOCK ZAR 100</t>
        </is>
      </c>
      <c r="C31" s="18" t="n">
        <v>436628.81</v>
      </c>
      <c r="D31" s="19">
        <f>C31/$C$112</f>
        <v/>
      </c>
      <c r="E31" s="20" t="inlineStr">
        <is>
          <t>6628008</t>
        </is>
      </c>
    </row>
    <row r="32">
      <c r="A32" s="41" t="n">
        <v>59164</v>
      </c>
      <c r="B32" s="2" t="inlineStr">
        <is>
          <t>OPTIMA BANK SA COMMON STOCK EUR 3.45</t>
        </is>
      </c>
      <c r="C32" s="18" t="n">
        <v>417357.63</v>
      </c>
      <c r="D32" s="19">
        <f>C32/$C$112</f>
        <v/>
      </c>
      <c r="E32" s="20" t="inlineStr">
        <is>
          <t>BL571C1</t>
        </is>
      </c>
    </row>
    <row r="33">
      <c r="A33" s="41" t="n">
        <v>10233</v>
      </c>
      <c r="B33" s="2" t="inlineStr">
        <is>
          <t>KGHM POLSKA MIEDZ SA COMMON STOCK PLN 10</t>
        </is>
      </c>
      <c r="C33" s="18" t="n">
        <v>409057.72</v>
      </c>
      <c r="D33" s="19">
        <f>C33/$C$112</f>
        <v/>
      </c>
      <c r="E33" s="20" t="inlineStr">
        <is>
          <t>5263251</t>
        </is>
      </c>
    </row>
    <row r="34">
      <c r="A34" s="41" t="n">
        <v>35906</v>
      </c>
      <c r="B34" s="2" t="inlineStr">
        <is>
          <t>NATIONAL BANK OF GREECE SA COMMON STOCK EUR 1</t>
        </is>
      </c>
      <c r="C34" s="18" t="n">
        <v>401384.04</v>
      </c>
      <c r="D34" s="19">
        <f>C34/$C$112</f>
        <v/>
      </c>
      <c r="E34" s="20" t="inlineStr">
        <is>
          <t>BG087C6</t>
        </is>
      </c>
    </row>
    <row r="35">
      <c r="A35" s="41" t="n">
        <v>9734</v>
      </c>
      <c r="B35" s="2" t="inlineStr">
        <is>
          <t>METLEN ENERGY &amp; METALS PLC COMMON STOCK EUR 11</t>
        </is>
      </c>
      <c r="C35" s="18" t="n">
        <v>377535.1</v>
      </c>
      <c r="D35" s="19">
        <f>C35/$C$112</f>
        <v/>
      </c>
      <c r="E35" s="20" t="inlineStr">
        <is>
          <t>BTQGS77</t>
        </is>
      </c>
    </row>
    <row r="36">
      <c r="A36" s="41" t="n">
        <v>44158</v>
      </c>
      <c r="B36" s="2" t="inlineStr">
        <is>
          <t>ABSA GROUP LTD</t>
        </is>
      </c>
      <c r="C36" s="18" t="n">
        <v>375877.04</v>
      </c>
      <c r="D36" s="19">
        <f>C36/$C$112</f>
        <v/>
      </c>
      <c r="E36" s="20" t="inlineStr">
        <is>
          <t>BFX05H3</t>
        </is>
      </c>
    </row>
    <row r="37">
      <c r="A37" s="41" t="n">
        <v>108419</v>
      </c>
      <c r="B37" s="2" t="inlineStr">
        <is>
          <t>ADES HOLDING CO COMMON STOCK SAR 1</t>
        </is>
      </c>
      <c r="C37" s="18" t="n">
        <v>371655.55</v>
      </c>
      <c r="D37" s="19">
        <f>C37/$C$112</f>
        <v/>
      </c>
      <c r="E37" s="20" t="inlineStr">
        <is>
          <t>BR56KM3</t>
        </is>
      </c>
    </row>
    <row r="38">
      <c r="A38" s="41" t="n">
        <v>184728</v>
      </c>
      <c r="B38" s="2" t="inlineStr">
        <is>
          <t>DUBAI ISLAMIC BANK PJSC COMMON STOCK AED 1</t>
        </is>
      </c>
      <c r="C38" s="18" t="n">
        <v>363660</v>
      </c>
      <c r="D38" s="19">
        <f>C38/$C$112</f>
        <v/>
      </c>
      <c r="E38" s="20" t="inlineStr">
        <is>
          <t>6283452</t>
        </is>
      </c>
    </row>
    <row r="39">
      <c r="A39" s="41" t="n">
        <v>174389</v>
      </c>
      <c r="B39" s="2" t="inlineStr">
        <is>
          <t>SIBANYE STILLWATER LTD COMMON STOCK ZAR</t>
        </is>
      </c>
      <c r="C39" s="18" t="n">
        <v>354715.89</v>
      </c>
      <c r="D39" s="19">
        <f>C39/$C$112</f>
        <v/>
      </c>
      <c r="E39" s="20" t="inlineStr">
        <is>
          <t>BL0L913</t>
        </is>
      </c>
    </row>
    <row r="40">
      <c r="A40" s="41" t="n">
        <v>548</v>
      </c>
      <c r="B40" s="2" t="inlineStr">
        <is>
          <t>BENEFIT SYSTEMS SA COMMON STOCK PLN 1</t>
        </is>
      </c>
      <c r="C40" s="18" t="n">
        <v>354361.03</v>
      </c>
      <c r="D40" s="19">
        <f>C40/$C$112</f>
        <v/>
      </c>
      <c r="E40" s="20" t="inlineStr">
        <is>
          <t>B4XY9X2</t>
        </is>
      </c>
    </row>
    <row r="41">
      <c r="A41" s="41" t="n">
        <v>57145</v>
      </c>
      <c r="B41" s="2" t="inlineStr">
        <is>
          <t>PIRAEUS FINANCIAL HOLDINGS SA COMMON STOCK EUR 0.93</t>
        </is>
      </c>
      <c r="C41" s="18" t="n">
        <v>339861.67</v>
      </c>
      <c r="D41" s="19">
        <f>C41/$C$112</f>
        <v/>
      </c>
      <c r="E41" s="20" t="inlineStr">
        <is>
          <t>BNC0DB0</t>
        </is>
      </c>
    </row>
    <row r="42">
      <c r="A42" s="41" t="n">
        <v>118590</v>
      </c>
      <c r="B42" s="2" t="inlineStr">
        <is>
          <t>EUROBANK ERGASIAS SERVICES AND HOLDINGS SA COMMON STOCK EUR 0.22</t>
        </is>
      </c>
      <c r="C42" s="18" t="n">
        <v>339730.2</v>
      </c>
      <c r="D42" s="19">
        <f>C42/$C$112</f>
        <v/>
      </c>
      <c r="E42" s="20" t="inlineStr">
        <is>
          <t>BYZ43T4</t>
        </is>
      </c>
    </row>
    <row r="43">
      <c r="A43" s="41" t="n">
        <v>108243</v>
      </c>
      <c r="B43" s="2" t="inlineStr">
        <is>
          <t>ALPHA BANK SA COMMON STOCK EUR 0.3</t>
        </is>
      </c>
      <c r="C43" s="18" t="n">
        <v>323306.19</v>
      </c>
      <c r="D43" s="19">
        <f>C43/$C$112</f>
        <v/>
      </c>
      <c r="E43" s="20" t="inlineStr">
        <is>
          <t>BTJZ707</t>
        </is>
      </c>
    </row>
    <row r="44">
      <c r="A44" s="41" t="n">
        <v>43960</v>
      </c>
      <c r="B44" s="2" t="inlineStr">
        <is>
          <t>BANK OF CYPRUS HOLDINGS PLC COMMON STOCK EUR 0.1</t>
        </is>
      </c>
      <c r="C44" s="18" t="n">
        <v>307401.54</v>
      </c>
      <c r="D44" s="19">
        <f>C44/$C$112</f>
        <v/>
      </c>
      <c r="E44" s="20" t="inlineStr">
        <is>
          <t>BN2BZT5</t>
        </is>
      </c>
    </row>
    <row r="45">
      <c r="A45" s="41" t="n">
        <v>69157</v>
      </c>
      <c r="B45" s="45" t="inlineStr">
        <is>
          <t>ARABIAN CENTRES CO COMMON STOCK SAR 10</t>
        </is>
      </c>
      <c r="C45" s="18" t="n">
        <v>305562.57</v>
      </c>
      <c r="D45" s="19">
        <f>C45/$C$112</f>
        <v/>
      </c>
      <c r="E45" s="20" t="inlineStr">
        <is>
          <t>BKBF694</t>
        </is>
      </c>
    </row>
    <row r="46">
      <c r="A46" s="41" t="n">
        <v>23805</v>
      </c>
      <c r="B46" s="2" t="inlineStr">
        <is>
          <t>SHOPRITE HOLDINGS LTD COMMON STOCK ZAR 113.4</t>
        </is>
      </c>
      <c r="C46" s="18" t="n">
        <v>303203.39</v>
      </c>
      <c r="D46" s="19">
        <f>C46/$C$112</f>
        <v/>
      </c>
      <c r="E46" s="20" t="inlineStr">
        <is>
          <t>6801575</t>
        </is>
      </c>
    </row>
    <row r="47">
      <c r="A47" s="41" t="n">
        <v>54728</v>
      </c>
      <c r="B47" s="2" t="inlineStr">
        <is>
          <t>RIYAD BANK COMMON STOCK SAR 10</t>
        </is>
      </c>
      <c r="C47" s="18" t="n">
        <v>301678.89</v>
      </c>
      <c r="D47" s="19">
        <f>C47/$C$112</f>
        <v/>
      </c>
      <c r="E47" s="20" t="inlineStr">
        <is>
          <t>B12LZW4</t>
        </is>
      </c>
    </row>
    <row r="48">
      <c r="A48" s="41" t="n">
        <v>362649</v>
      </c>
      <c r="B48" s="2" t="inlineStr">
        <is>
          <t>LUKOIL PJSC COMMON STOCK RUB 0.025 RUB</t>
        </is>
      </c>
      <c r="C48" s="18" t="n">
        <v>176048.21</v>
      </c>
      <c r="D48" s="19">
        <f>C48/$C$112</f>
        <v/>
      </c>
      <c r="E48" s="20" t="inlineStr">
        <is>
          <t>X84C974</t>
        </is>
      </c>
    </row>
    <row r="49">
      <c r="A49" s="41" t="n">
        <v>262047</v>
      </c>
      <c r="B49" s="2" t="inlineStr">
        <is>
          <t>LUKOIL PJSC COMMON STOCK RUB</t>
        </is>
      </c>
      <c r="C49" s="18" t="n">
        <v>124375.2</v>
      </c>
      <c r="D49" s="19">
        <f>C49/$C$112</f>
        <v/>
      </c>
      <c r="E49" s="20" t="inlineStr">
        <is>
          <t>X84D1F5</t>
        </is>
      </c>
    </row>
    <row r="50">
      <c r="A50" s="28" t="n"/>
      <c r="B50" s="27" t="inlineStr">
        <is>
          <t>Subtotal</t>
        </is>
      </c>
      <c r="C50" s="29">
        <f>+C49+C48</f>
        <v/>
      </c>
      <c r="D50" s="31">
        <f>C50/$C$115</f>
        <v/>
      </c>
      <c r="E50" s="20" t="n"/>
    </row>
    <row r="51">
      <c r="A51" s="41" t="n">
        <v>19168</v>
      </c>
      <c r="B51" s="2" t="inlineStr">
        <is>
          <t>KUMBA IRON ORE LTD COMMON STOCK ZAR 0.01</t>
        </is>
      </c>
      <c r="C51" s="18" t="n">
        <v>290605.27</v>
      </c>
      <c r="D51" s="19">
        <f>C51/$C$112</f>
        <v/>
      </c>
      <c r="E51" s="20" t="inlineStr">
        <is>
          <t>B1G4262</t>
        </is>
      </c>
    </row>
    <row r="52">
      <c r="A52" s="41" t="n">
        <v>70776</v>
      </c>
      <c r="B52" s="2" t="inlineStr">
        <is>
          <t>SANLAM LTD COMMON STOCK ZAR 1</t>
        </is>
      </c>
      <c r="C52" s="18" t="n">
        <v>282733.46</v>
      </c>
      <c r="D52" s="19">
        <f>C52/$C$112</f>
        <v/>
      </c>
      <c r="E52" s="20" t="inlineStr">
        <is>
          <t>B0L6750</t>
        </is>
      </c>
    </row>
    <row r="53">
      <c r="A53" s="41" t="n">
        <v>23041</v>
      </c>
      <c r="B53" s="45" t="inlineStr">
        <is>
          <t>POWSZECHNY ZAKLAD UBEZPIECZEN SA COMMON STOCK PLN 0.1</t>
        </is>
      </c>
      <c r="C53" s="18" t="n">
        <v>280687.2</v>
      </c>
      <c r="D53" s="19">
        <f>C53/$C$112</f>
        <v/>
      </c>
      <c r="E53" s="20" t="inlineStr">
        <is>
          <t>B63DG21</t>
        </is>
      </c>
    </row>
    <row r="54">
      <c r="A54" s="41" t="n">
        <v>24898</v>
      </c>
      <c r="B54" s="2" t="inlineStr">
        <is>
          <t>SARANTIS SA EUR1.53</t>
        </is>
      </c>
      <c r="C54" s="18" t="n">
        <v>276031.79</v>
      </c>
      <c r="D54" s="19">
        <f>C54/$C$112</f>
        <v/>
      </c>
      <c r="E54" s="20" t="inlineStr">
        <is>
          <t>7124958</t>
        </is>
      </c>
    </row>
    <row r="55">
      <c r="A55" s="41" t="n">
        <v>8779</v>
      </c>
      <c r="B55" s="2" t="inlineStr">
        <is>
          <t>ALKHORAYEF WATER &amp; POWER TECHNOLOGIES CO COMMON STOCK SAR 10</t>
        </is>
      </c>
      <c r="C55" s="18" t="n">
        <v>267799.4</v>
      </c>
      <c r="D55" s="19">
        <f>C55/$C$112</f>
        <v/>
      </c>
      <c r="E55" s="20" t="inlineStr">
        <is>
          <t>BN33QN1</t>
        </is>
      </c>
    </row>
    <row r="56">
      <c r="A56" s="41" t="n">
        <v>71</v>
      </c>
      <c r="B56" s="2" t="inlineStr">
        <is>
          <t>LPP SA COMMON STOCK PLN 2</t>
        </is>
      </c>
      <c r="C56" s="18" t="n">
        <v>262582.93</v>
      </c>
      <c r="D56" s="19">
        <f>C56/$C$112</f>
        <v/>
      </c>
      <c r="E56" s="20" t="inlineStr">
        <is>
          <t>7127979</t>
        </is>
      </c>
    </row>
    <row r="57">
      <c r="A57" s="41" t="n">
        <v>14665</v>
      </c>
      <c r="B57" s="2" t="inlineStr">
        <is>
          <t>UNITED ELECTRONICS CO COMMON STOCK SAR</t>
        </is>
      </c>
      <c r="C57" s="18" t="n">
        <v>262069.81</v>
      </c>
      <c r="D57" s="19">
        <f>C57/$C$112</f>
        <v/>
      </c>
      <c r="E57" s="20" t="inlineStr">
        <is>
          <t>B4P2SD7</t>
        </is>
      </c>
    </row>
    <row r="58">
      <c r="A58" s="41" t="n">
        <v>8834</v>
      </c>
      <c r="B58" s="2" t="inlineStr">
        <is>
          <t>RIYADH CABLES GROUP CO COMMON STOCK SAR 10</t>
        </is>
      </c>
      <c r="C58" s="18" t="n">
        <v>253161.5</v>
      </c>
      <c r="D58" s="19">
        <f>C58/$C$112</f>
        <v/>
      </c>
      <c r="E58" s="20" t="inlineStr">
        <is>
          <t>BNBPXW7</t>
        </is>
      </c>
    </row>
    <row r="59">
      <c r="A59" s="41" t="n">
        <v>262911</v>
      </c>
      <c r="B59" s="2" t="inlineStr">
        <is>
          <t>QATAR GAS TRANSPORT CO LTD COMMON STOCK QAR 1</t>
        </is>
      </c>
      <c r="C59" s="18" t="n">
        <v>243360.4</v>
      </c>
      <c r="D59" s="19">
        <f>C59/$C$112</f>
        <v/>
      </c>
      <c r="E59" s="20" t="inlineStr">
        <is>
          <t>B0MLBC9</t>
        </is>
      </c>
    </row>
    <row r="60">
      <c r="A60" s="41" t="n">
        <v>36804</v>
      </c>
      <c r="B60" s="2" t="inlineStr">
        <is>
          <t>SAUDI AWWAL BANK COMMON STOCK SAR 10</t>
        </is>
      </c>
      <c r="C60" s="18" t="n">
        <v>241718.06</v>
      </c>
      <c r="D60" s="19">
        <f>C60/$C$112</f>
        <v/>
      </c>
      <c r="E60" s="20" t="inlineStr">
        <is>
          <t>B12LSY7</t>
        </is>
      </c>
    </row>
    <row r="61">
      <c r="A61" s="41" t="n">
        <v>1247</v>
      </c>
      <c r="B61" s="2" t="inlineStr">
        <is>
          <t>ELM CO COMMON STOCK SAR 10</t>
        </is>
      </c>
      <c r="C61" s="18" t="n">
        <v>238662.24</v>
      </c>
      <c r="D61" s="19">
        <f>C61/$C$112</f>
        <v/>
      </c>
      <c r="E61" s="20" t="inlineStr">
        <is>
          <t>BNYDSH8</t>
        </is>
      </c>
    </row>
    <row r="62">
      <c r="A62" s="41" t="n">
        <v>1238</v>
      </c>
      <c r="B62" s="2" t="inlineStr">
        <is>
          <t>GRUPA KETY SA COMMON STOCK PLN 2.5</t>
        </is>
      </c>
      <c r="C62" s="18" t="n">
        <v>237354.73</v>
      </c>
      <c r="D62" s="19">
        <f>C62/$C$112</f>
        <v/>
      </c>
      <c r="E62" s="20" t="inlineStr">
        <is>
          <t>5216385</t>
        </is>
      </c>
    </row>
    <row r="63">
      <c r="A63" s="41" t="n">
        <v>118565</v>
      </c>
      <c r="B63" s="2" t="inlineStr">
        <is>
          <t>EMIRATES INTEGRATED TELECOMMUNICATIONS CO PJSC COMMON STOCK AED 1</t>
        </is>
      </c>
      <c r="C63" s="18" t="n">
        <v>231444.36</v>
      </c>
      <c r="D63" s="19">
        <f>C63/$C$112</f>
        <v/>
      </c>
      <c r="E63" s="20" t="inlineStr">
        <is>
          <t>B13TMN7</t>
        </is>
      </c>
    </row>
    <row r="64">
      <c r="A64" s="41" t="n">
        <v>7079</v>
      </c>
      <c r="B64" s="2" t="inlineStr">
        <is>
          <t>ALDREES PETROLEUM AND TRANSPORT SERVICES CO COMMON STOCK SAR 10</t>
        </is>
      </c>
      <c r="C64" s="18" t="n">
        <v>220251.89</v>
      </c>
      <c r="D64" s="19">
        <f>C64/$C$112</f>
        <v/>
      </c>
      <c r="E64" s="20" t="inlineStr">
        <is>
          <t>B128FF8</t>
        </is>
      </c>
    </row>
    <row r="65">
      <c r="A65" s="41" t="n">
        <v>8860909</v>
      </c>
      <c r="B65" s="2" t="inlineStr">
        <is>
          <t>GAZPROM PJSC COMMON STOCK RUB</t>
        </is>
      </c>
      <c r="C65" s="18" t="n">
        <v>194225.79</v>
      </c>
      <c r="D65" s="19">
        <f>C65/$C$112</f>
        <v/>
      </c>
      <c r="E65" s="20" t="inlineStr">
        <is>
          <t>X8C529A</t>
        </is>
      </c>
    </row>
    <row r="66">
      <c r="A66" s="41" t="n">
        <v>5365084</v>
      </c>
      <c r="B66" s="2" t="inlineStr">
        <is>
          <t>GAZPROM PJSC ADR</t>
        </is>
      </c>
      <c r="C66" s="18" t="n">
        <v>23741.37</v>
      </c>
      <c r="D66" s="19">
        <f>C66/$C$112</f>
        <v/>
      </c>
      <c r="E66" s="20" t="inlineStr">
        <is>
          <t>X84C976</t>
        </is>
      </c>
    </row>
    <row r="67">
      <c r="A67" s="28" t="n"/>
      <c r="B67" s="27" t="inlineStr">
        <is>
          <t>Subtotal</t>
        </is>
      </c>
      <c r="C67" s="29">
        <f>+C66+C65</f>
        <v/>
      </c>
      <c r="D67" s="31">
        <f>C67/$C$115</f>
        <v/>
      </c>
      <c r="E67" s="38" t="n"/>
    </row>
    <row r="68">
      <c r="A68" s="41" t="n">
        <v>182204</v>
      </c>
      <c r="B68" s="2" t="inlineStr">
        <is>
          <t>PARKIN CO PJSC COMMON STOCK AED 0.02</t>
        </is>
      </c>
      <c r="C68" s="18" t="n">
        <v>209173.6</v>
      </c>
      <c r="D68" s="19">
        <f>C68/$C$112</f>
        <v/>
      </c>
      <c r="E68" s="20" t="inlineStr">
        <is>
          <t>BRRGQF6</t>
        </is>
      </c>
    </row>
    <row r="69">
      <c r="A69" s="41" t="n">
        <v>41881</v>
      </c>
      <c r="B69" s="2" t="inlineStr">
        <is>
          <t>ARAB NATIONAL BANK COMMON STOCK SAR 10</t>
        </is>
      </c>
      <c r="C69" s="18" t="n">
        <v>206041.75</v>
      </c>
      <c r="D69" s="19">
        <f>C69/$C$112</f>
        <v/>
      </c>
      <c r="E69" s="20" t="inlineStr">
        <is>
          <t>B12LZK2</t>
        </is>
      </c>
    </row>
    <row r="70">
      <c r="A70" s="41" t="n">
        <v>57451</v>
      </c>
      <c r="B70" s="2" t="inlineStr">
        <is>
          <t>TUPRAS-TURKIYE PETROL RAFINE</t>
        </is>
      </c>
      <c r="C70" s="18" t="n">
        <v>205492.5</v>
      </c>
      <c r="D70" s="19">
        <f>C70/$C$112</f>
        <v/>
      </c>
      <c r="E70" s="20" t="inlineStr">
        <is>
          <t>B03MYT9</t>
        </is>
      </c>
    </row>
    <row r="71">
      <c r="A71" s="41" t="n">
        <v>14455036</v>
      </c>
      <c r="B71" s="2" t="inlineStr">
        <is>
          <t>SBERBANK OF RUSSIA PJSC PREFERENCE RUB 3</t>
        </is>
      </c>
      <c r="C71" s="18" t="n">
        <v>174785.52</v>
      </c>
      <c r="D71" s="19">
        <f>C71/$C$112</f>
        <v/>
      </c>
      <c r="E71" s="20" t="inlineStr">
        <is>
          <t>X8C6155</t>
        </is>
      </c>
    </row>
    <row r="72">
      <c r="A72" s="41" t="n">
        <v>2355925</v>
      </c>
      <c r="B72" s="2" t="inlineStr">
        <is>
          <t>SBERBANK OF RUSSIA PJSC</t>
        </is>
      </c>
      <c r="C72" s="18" t="n">
        <v>28281.18</v>
      </c>
      <c r="D72" s="19">
        <f>C72/$C$112</f>
        <v/>
      </c>
      <c r="E72" s="20" t="inlineStr">
        <is>
          <t>X8C6398</t>
        </is>
      </c>
    </row>
    <row r="73">
      <c r="A73" s="41" t="n"/>
      <c r="B73" s="27" t="inlineStr">
        <is>
          <t>Subtotal</t>
        </is>
      </c>
      <c r="C73" s="29">
        <f>+C72+C71</f>
        <v/>
      </c>
      <c r="D73" s="31">
        <f>C73/$C$115</f>
        <v/>
      </c>
      <c r="E73" s="38" t="n"/>
    </row>
    <row r="74">
      <c r="A74" s="41" t="n">
        <v>13207</v>
      </c>
      <c r="B74" s="2" t="inlineStr">
        <is>
          <t>UNITED INTERNATIONAL TRANSPORTATION CO COMMON STOCK SAR 10</t>
        </is>
      </c>
      <c r="C74" s="18" t="n">
        <v>197148.02</v>
      </c>
      <c r="D74" s="19">
        <f>C74/$C$112</f>
        <v/>
      </c>
      <c r="E74" s="20" t="inlineStr">
        <is>
          <t>B2493D0</t>
        </is>
      </c>
    </row>
    <row r="75">
      <c r="A75" s="41" t="n">
        <v>3753</v>
      </c>
      <c r="B75" s="2" t="inlineStr">
        <is>
          <t>ANGLOGOLD ASHANTI PLC ZAR</t>
        </is>
      </c>
      <c r="C75" s="18" t="n">
        <v>194355.61</v>
      </c>
      <c r="D75" s="19">
        <f>C75/$C$112</f>
        <v/>
      </c>
      <c r="E75" s="20" t="inlineStr">
        <is>
          <t>BRXH266</t>
        </is>
      </c>
    </row>
    <row r="76">
      <c r="A76" s="41" t="n">
        <v>21418</v>
      </c>
      <c r="B76" s="2" t="inlineStr">
        <is>
          <t>ATHENS INTERNATIONAL AIRPORT SA COMMON STOCK EUR 1</t>
        </is>
      </c>
      <c r="C76" s="18" t="n">
        <v>188530.63</v>
      </c>
      <c r="D76" s="19">
        <f>C76/$C$112</f>
        <v/>
      </c>
      <c r="E76" s="20" t="inlineStr">
        <is>
          <t>BPYS8N3</t>
        </is>
      </c>
    </row>
    <row r="77">
      <c r="A77" s="41" t="n">
        <v>7120</v>
      </c>
      <c r="B77" s="2" t="inlineStr">
        <is>
          <t>LEEJAM SPORTS CO JSC COMMON STOCK SAR 10</t>
        </is>
      </c>
      <c r="C77" s="18" t="n">
        <v>184678.54</v>
      </c>
      <c r="D77" s="19">
        <f>C77/$C$112</f>
        <v/>
      </c>
      <c r="E77" s="20" t="inlineStr">
        <is>
          <t>BF12ZV5</t>
        </is>
      </c>
    </row>
    <row r="78">
      <c r="A78" s="41" t="n">
        <v>20472</v>
      </c>
      <c r="B78" s="2" t="inlineStr">
        <is>
          <t>SAUDI GROUND SERVICES CO COMMON STOCK SAR 10</t>
        </is>
      </c>
      <c r="C78" s="18" t="n">
        <v>183233.31</v>
      </c>
      <c r="D78" s="19">
        <f>C78/$C$112</f>
        <v/>
      </c>
      <c r="E78" s="20" t="inlineStr">
        <is>
          <t>BYYTJ69</t>
        </is>
      </c>
    </row>
    <row r="79">
      <c r="A79" s="41" t="n">
        <v>57584</v>
      </c>
      <c r="B79" s="2" t="inlineStr">
        <is>
          <t>EMAAR DEVELOPMENT PJSC COMMON STOCK AED 1</t>
        </is>
      </c>
      <c r="C79" s="18" t="n">
        <v>176604.9</v>
      </c>
      <c r="D79" s="19">
        <f>C79/$C$112</f>
        <v/>
      </c>
      <c r="E79" s="20" t="inlineStr">
        <is>
          <t>BDG1977</t>
        </is>
      </c>
    </row>
    <row r="80">
      <c r="A80" s="41" t="n">
        <v>3026</v>
      </c>
      <c r="B80" s="2" t="inlineStr">
        <is>
          <t>SAUDIA DAIRY &amp; FOODSTUFF CO COMMON STOCK SAR 10</t>
        </is>
      </c>
      <c r="C80" s="18" t="n">
        <v>176138.24</v>
      </c>
      <c r="D80" s="19">
        <f>C80/$C$112</f>
        <v/>
      </c>
      <c r="E80" s="20" t="inlineStr">
        <is>
          <t>B133P41</t>
        </is>
      </c>
    </row>
    <row r="81">
      <c r="A81" s="41" t="n">
        <v>32300</v>
      </c>
      <c r="B81" s="2" t="inlineStr">
        <is>
          <t>TURK HAVA YOLLARI AO COMMON STOCK TRY 1</t>
        </is>
      </c>
      <c r="C81" s="18" t="n">
        <v>170286.38</v>
      </c>
      <c r="D81" s="19">
        <f>C81/$C$112</f>
        <v/>
      </c>
      <c r="E81" s="20" t="inlineStr">
        <is>
          <t>B03MYK0</t>
        </is>
      </c>
    </row>
    <row r="82">
      <c r="A82" s="41" t="n">
        <v>1803</v>
      </c>
      <c r="B82" s="2" t="inlineStr">
        <is>
          <t>KRUK SA COMMON STOCK PLN 1</t>
        </is>
      </c>
      <c r="C82" s="18" t="n">
        <v>168841.59</v>
      </c>
      <c r="D82" s="19">
        <f>C82/$C$112</f>
        <v/>
      </c>
      <c r="E82" s="20" t="inlineStr">
        <is>
          <t>B4PTLY0</t>
        </is>
      </c>
    </row>
    <row r="83">
      <c r="A83" s="41" t="n">
        <v>754840</v>
      </c>
      <c r="B83" s="2" t="inlineStr">
        <is>
          <t>TURKIYE SIGORTA AS COMMON STOCK TRY 1</t>
        </is>
      </c>
      <c r="C83" s="18" t="n">
        <v>168745.93</v>
      </c>
      <c r="D83" s="19">
        <f>C83/$C$112</f>
        <v/>
      </c>
      <c r="E83" s="20" t="inlineStr">
        <is>
          <t>B03MTD8</t>
        </is>
      </c>
    </row>
    <row r="84">
      <c r="A84" s="41" t="n">
        <v>1268490</v>
      </c>
      <c r="B84" s="2" t="inlineStr">
        <is>
          <t>NOVATEK PJSC COMMON STOCK RUB 0.1</t>
        </is>
      </c>
      <c r="C84" s="18" t="n">
        <v>151632.23</v>
      </c>
      <c r="D84" s="19">
        <f>C84/$C$112</f>
        <v/>
      </c>
      <c r="E84" s="20" t="inlineStr">
        <is>
          <t>X84C972</t>
        </is>
      </c>
    </row>
    <row r="85">
      <c r="A85" s="41" t="n">
        <v>103572</v>
      </c>
      <c r="B85" s="2" t="inlineStr">
        <is>
          <t>NOVATEK PJSC COMMON STOCK RUB 0.1</t>
        </is>
      </c>
      <c r="C85" s="18" t="n">
        <v>12104.76</v>
      </c>
      <c r="D85" s="19">
        <f>C85/$C$112</f>
        <v/>
      </c>
      <c r="E85" s="20" t="inlineStr">
        <is>
          <t>X84C970</t>
        </is>
      </c>
    </row>
    <row r="86">
      <c r="A86" s="28" t="n"/>
      <c r="B86" s="27" t="inlineStr">
        <is>
          <t>Subtotal</t>
        </is>
      </c>
      <c r="C86" s="29">
        <f>+C85+C84</f>
        <v/>
      </c>
      <c r="D86" s="31">
        <f>C86/$C$115</f>
        <v/>
      </c>
      <c r="E86" s="38" t="n"/>
    </row>
    <row r="87">
      <c r="A87" s="41" t="n">
        <v>234111</v>
      </c>
      <c r="B87" s="2" t="inlineStr">
        <is>
          <t>TECOM GROUP PJSC COMMON STOCK AED 0.1</t>
        </is>
      </c>
      <c r="C87" s="18" t="n">
        <v>158153.43</v>
      </c>
      <c r="D87" s="19">
        <f>C87/$C$112</f>
        <v/>
      </c>
      <c r="E87" s="20" t="inlineStr">
        <is>
          <t>BLDC8Q1</t>
        </is>
      </c>
    </row>
    <row r="88">
      <c r="A88" s="41" t="n">
        <v>72103</v>
      </c>
      <c r="B88" s="2" t="inlineStr">
        <is>
          <t>WE BUY CARS HOLDINGS LTD COMMON STOCK ZAR</t>
        </is>
      </c>
      <c r="C88" s="18" t="n">
        <v>145647.88</v>
      </c>
      <c r="D88" s="19">
        <f>C88/$C$112</f>
        <v/>
      </c>
      <c r="E88" s="20" t="inlineStr">
        <is>
          <t>BSB8C80</t>
        </is>
      </c>
    </row>
    <row r="89">
      <c r="A89" s="41" t="n">
        <v>6774</v>
      </c>
      <c r="B89" s="2" t="inlineStr">
        <is>
          <t>JERONIMO MARTINS SGPS SA COMMON STOCK EUR 1</t>
        </is>
      </c>
      <c r="C89" s="18" t="n">
        <v>132823.42</v>
      </c>
      <c r="D89" s="19">
        <f>C89/$C$112</f>
        <v/>
      </c>
      <c r="E89" s="20" t="inlineStr">
        <is>
          <t>B1Y1SQ7</t>
        </is>
      </c>
    </row>
    <row r="90">
      <c r="A90" s="41" t="n">
        <v>7119200</v>
      </c>
      <c r="B90" s="2" t="inlineStr">
        <is>
          <t>MMC NORILSK NICKEL PJSC COMMON STOCK RUB 1</t>
        </is>
      </c>
      <c r="C90" s="18" t="n">
        <v>130789.54</v>
      </c>
      <c r="D90" s="19">
        <f>C90/$C$112</f>
        <v/>
      </c>
      <c r="E90" s="20" t="inlineStr">
        <is>
          <t>X84C977</t>
        </is>
      </c>
    </row>
    <row r="91">
      <c r="A91" s="41" t="n">
        <v>3540</v>
      </c>
      <c r="B91" s="2" t="inlineStr">
        <is>
          <t>CCC SA COMMON STOCK PLN 0.1</t>
        </is>
      </c>
      <c r="C91" s="18" t="n">
        <v>110257.48</v>
      </c>
      <c r="D91" s="19">
        <f>C91/$C$112</f>
        <v/>
      </c>
      <c r="E91" s="20" t="inlineStr">
        <is>
          <t>B04QR13</t>
        </is>
      </c>
    </row>
    <row r="92">
      <c r="A92" s="41" t="n">
        <v>2041744</v>
      </c>
      <c r="B92" s="2" t="inlineStr">
        <is>
          <t>ROSNEFT OIL CO PJSC COMMON STOCK RUB 0.01</t>
        </is>
      </c>
      <c r="C92" s="18" t="n">
        <v>57846.57</v>
      </c>
      <c r="D92" s="19">
        <f>C92/$C$112</f>
        <v/>
      </c>
      <c r="E92" s="20" t="inlineStr">
        <is>
          <t>X84C971</t>
        </is>
      </c>
    </row>
    <row r="93">
      <c r="A93" s="41" t="n">
        <v>1677948</v>
      </c>
      <c r="B93" s="2" t="inlineStr">
        <is>
          <t>ROSNEFT OIL CO PJSC COMMON STOCK RUB</t>
        </is>
      </c>
      <c r="C93" s="18" t="n">
        <v>48682.41</v>
      </c>
      <c r="D93" s="19">
        <f>C93/$C$112</f>
        <v/>
      </c>
      <c r="E93" s="20" t="inlineStr">
        <is>
          <t>X84D1F9</t>
        </is>
      </c>
    </row>
    <row r="94">
      <c r="A94" s="28" t="n"/>
      <c r="B94" s="27" t="inlineStr">
        <is>
          <t>Subtotal</t>
        </is>
      </c>
      <c r="C94" s="29">
        <f>+C93+C92</f>
        <v/>
      </c>
      <c r="D94" s="31">
        <f>C94/$C$115</f>
        <v/>
      </c>
      <c r="E94" s="38" t="n"/>
    </row>
    <row r="95">
      <c r="A95" s="41" t="n">
        <v>3657350</v>
      </c>
      <c r="B95" s="2" t="inlineStr">
        <is>
          <t>NOVOLIPETSK STEEL PJSC COMMON STOCK RUB</t>
        </is>
      </c>
      <c r="C95" s="18" t="n">
        <v>64596.75</v>
      </c>
      <c r="D95" s="19">
        <f>C95/$C$112</f>
        <v/>
      </c>
      <c r="E95" s="20" t="inlineStr">
        <is>
          <t>X84C97E</t>
        </is>
      </c>
    </row>
    <row r="96">
      <c r="A96" s="41" t="n">
        <v>180877</v>
      </c>
      <c r="B96" s="2" t="inlineStr">
        <is>
          <t>MAGNIT PJSC COMMON STOCK RUB 0.01</t>
        </is>
      </c>
      <c r="C96" s="18" t="n">
        <v>51578.73</v>
      </c>
      <c r="D96" s="19">
        <f>C96/$C$112</f>
        <v/>
      </c>
      <c r="E96" s="20" t="inlineStr">
        <is>
          <t>X8C505A</t>
        </is>
      </c>
    </row>
    <row r="97">
      <c r="A97" s="41" t="n">
        <v>1265335</v>
      </c>
      <c r="B97" s="2" t="inlineStr">
        <is>
          <t>GAZPROM NEFT PJSC COMMON STOCK RUB</t>
        </is>
      </c>
      <c r="C97" s="18" t="n">
        <v>46610.04</v>
      </c>
      <c r="D97" s="19">
        <f>C97/$C$112</f>
        <v/>
      </c>
      <c r="E97" s="20" t="inlineStr">
        <is>
          <t>X84D1F6</t>
        </is>
      </c>
    </row>
    <row r="98">
      <c r="A98" s="41" t="n">
        <v>730066</v>
      </c>
      <c r="B98" s="2" t="inlineStr">
        <is>
          <t>TATNEFT PJSC COMMON STOCK RUB</t>
        </is>
      </c>
      <c r="C98" s="18" t="n">
        <v>25207.49</v>
      </c>
      <c r="D98" s="19">
        <f>C98/$C$112</f>
        <v/>
      </c>
      <c r="E98" s="20" t="inlineStr">
        <is>
          <t>X84C973</t>
        </is>
      </c>
    </row>
    <row r="99">
      <c r="A99" s="41" t="n">
        <v>571359</v>
      </c>
      <c r="B99" s="2" t="inlineStr">
        <is>
          <t>TATNEFT PJSC PREFERENCE RUB 1</t>
        </is>
      </c>
      <c r="C99" s="18" t="n">
        <v>17470.27</v>
      </c>
      <c r="D99" s="19">
        <f>C99/$C$112</f>
        <v/>
      </c>
      <c r="E99" s="20" t="inlineStr">
        <is>
          <t>X8C6150</t>
        </is>
      </c>
    </row>
    <row r="100">
      <c r="A100" s="28" t="n"/>
      <c r="B100" s="27" t="inlineStr">
        <is>
          <t>Subtotal</t>
        </is>
      </c>
      <c r="C100" s="29">
        <f>+C99+C98</f>
        <v/>
      </c>
      <c r="D100" s="31">
        <f>C100/$C$115</f>
        <v/>
      </c>
      <c r="E100" s="38" t="n"/>
    </row>
    <row r="101">
      <c r="A101" s="41" t="n">
        <v>6156103</v>
      </c>
      <c r="B101" s="2" t="inlineStr">
        <is>
          <t>ROSTELECOM PJSC COMMON STOCK RUB</t>
        </is>
      </c>
      <c r="C101" s="18" t="n">
        <v>40205.91</v>
      </c>
      <c r="D101" s="19">
        <f>C101/$C$112</f>
        <v/>
      </c>
      <c r="E101" s="20" t="inlineStr">
        <is>
          <t>X84C978</t>
        </is>
      </c>
    </row>
    <row r="102">
      <c r="A102" s="41" t="n">
        <v>4246654</v>
      </c>
      <c r="B102" s="2" t="inlineStr">
        <is>
          <t>VTB BANK PJSC COMMON STOCK RUB 0.01</t>
        </is>
      </c>
      <c r="C102" s="18" t="n">
        <v>39109.88</v>
      </c>
      <c r="D102" s="19">
        <f>C102/$C$112</f>
        <v/>
      </c>
      <c r="E102" s="20" t="inlineStr">
        <is>
          <t>X8C6392</t>
        </is>
      </c>
    </row>
    <row r="103">
      <c r="A103" s="41" t="n">
        <v>297730</v>
      </c>
      <c r="B103" s="2" t="inlineStr">
        <is>
          <t>POLYUS PJSC COMMON STOCK RUB</t>
        </is>
      </c>
      <c r="C103" s="18" t="n">
        <v>31197.98</v>
      </c>
      <c r="D103" s="19">
        <f>C103/$C$112</f>
        <v/>
      </c>
      <c r="E103" s="20" t="inlineStr">
        <is>
          <t>X84D1F8</t>
        </is>
      </c>
    </row>
    <row r="104">
      <c r="A104" s="41" t="n">
        <v>432517</v>
      </c>
      <c r="B104" s="2" t="inlineStr">
        <is>
          <t>MD MEDICAL GROUP INVESTMENTS PLC GDR USD</t>
        </is>
      </c>
      <c r="C104" s="18" t="n">
        <v>18764.3</v>
      </c>
      <c r="D104" s="19">
        <f>C104/$C$112</f>
        <v/>
      </c>
      <c r="E104" s="20" t="inlineStr">
        <is>
          <t>X8C6397</t>
        </is>
      </c>
    </row>
    <row r="105">
      <c r="A105" s="41" t="n">
        <v>12313057</v>
      </c>
      <c r="B105" s="2" t="inlineStr">
        <is>
          <t>SISTEMA PJSFC COMMON STOCK RUB 0.09</t>
        </is>
      </c>
      <c r="C105" s="18" t="n">
        <v>14103.62</v>
      </c>
      <c r="D105" s="19">
        <f>C105/$C$112</f>
        <v/>
      </c>
      <c r="E105" s="20" t="inlineStr">
        <is>
          <t>X84D1F7</t>
        </is>
      </c>
    </row>
    <row r="106">
      <c r="A106" s="41" t="n">
        <v>577525</v>
      </c>
      <c r="B106" s="2" t="inlineStr">
        <is>
          <t>FIX PRICE GROUP LTD GDR</t>
        </is>
      </c>
      <c r="C106" s="18" t="n">
        <v>4131.93</v>
      </c>
      <c r="D106" s="19">
        <f>C106/$C$112</f>
        <v/>
      </c>
      <c r="E106" s="20" t="inlineStr">
        <is>
          <t>X84CF24</t>
        </is>
      </c>
    </row>
    <row r="107">
      <c r="A107" s="41" t="n">
        <v>75226</v>
      </c>
      <c r="B107" s="2" t="inlineStr">
        <is>
          <t>TCS GROUP HOLDING PLC GDR</t>
        </is>
      </c>
      <c r="C107" s="18" t="n">
        <v>1828.19</v>
      </c>
      <c r="D107" s="19">
        <f>C107/$C$112</f>
        <v/>
      </c>
      <c r="E107" s="20" t="inlineStr">
        <is>
          <t>X8C4FD3</t>
        </is>
      </c>
    </row>
    <row r="108">
      <c r="A108" s="41" t="n">
        <v>275182</v>
      </c>
      <c r="B108" s="2" t="inlineStr">
        <is>
          <t>X 5 RETAIL GROUP NV-REGS GDR</t>
        </is>
      </c>
      <c r="C108" s="18" t="n">
        <v>1113</v>
      </c>
      <c r="D108" s="19">
        <f>C108/$C$112</f>
        <v/>
      </c>
      <c r="E108" s="20" t="inlineStr">
        <is>
          <t>X8C4FD9</t>
        </is>
      </c>
    </row>
    <row r="109">
      <c r="A109" s="41" t="n">
        <v>1011.54</v>
      </c>
      <c r="B109" s="45" t="inlineStr">
        <is>
          <t>JPM USD LIQUIDITY LVNAV X (DIST.)</t>
        </is>
      </c>
      <c r="C109" s="18" t="n">
        <v>769.91</v>
      </c>
      <c r="D109" s="19">
        <f>C109/$C$112</f>
        <v/>
      </c>
      <c r="E109" s="20" t="inlineStr">
        <is>
          <t>7253766</t>
        </is>
      </c>
    </row>
    <row r="110">
      <c r="A110" s="41" t="n">
        <v>552780</v>
      </c>
      <c r="B110" s="2" t="inlineStr">
        <is>
          <t>SEVERSTAL PAO GDR USD</t>
        </is>
      </c>
      <c r="C110" s="18" t="n">
        <v>252.86</v>
      </c>
      <c r="D110" s="19">
        <f>C110/$C$112</f>
        <v/>
      </c>
      <c r="E110" s="20" t="inlineStr">
        <is>
          <t>X84C975</t>
        </is>
      </c>
    </row>
    <row r="111">
      <c r="A111" s="28" t="n"/>
      <c r="B111" s="2" t="n"/>
      <c r="C111" s="18" t="n"/>
      <c r="D111" s="19" t="n"/>
      <c r="E111" s="38" t="n"/>
    </row>
    <row r="112">
      <c r="A112" s="28" t="n"/>
      <c r="B112" s="21" t="inlineStr">
        <is>
          <t>Total portfolio</t>
        </is>
      </c>
      <c r="C112" s="39">
        <f>SUM(C12:C49)+SUM(C51:C66)+SUM(C68:C72)+SUM(C74:C85)+SUM(C87:C93)+SUM(C95:C99)+SUM(C101:C110)</f>
        <v/>
      </c>
      <c r="D112" s="19">
        <f>C112/$C$115</f>
        <v/>
      </c>
      <c r="E112" s="20" t="n"/>
    </row>
    <row r="113">
      <c r="A113" s="28" t="n"/>
      <c r="B113" s="21" t="inlineStr">
        <is>
          <t>Net Current Assets</t>
        </is>
      </c>
      <c r="C113" s="39" t="n">
        <v>481060.71</v>
      </c>
      <c r="D113" s="19">
        <f>C113/$C$115</f>
        <v/>
      </c>
      <c r="E113" s="20" t="n"/>
    </row>
    <row r="114">
      <c r="A114" s="28" t="n"/>
      <c r="B114" s="21" t="n"/>
      <c r="C114" s="39" t="n"/>
      <c r="D114" s="32" t="n"/>
      <c r="E114" s="20" t="n"/>
    </row>
    <row r="115">
      <c r="A115" s="17" t="n"/>
      <c r="B115" s="21" t="inlineStr">
        <is>
          <t>Total Assets</t>
        </is>
      </c>
      <c r="C115" s="22">
        <f>C112+C113</f>
        <v/>
      </c>
      <c r="D115" s="19">
        <f>C115/$C$115</f>
        <v/>
      </c>
      <c r="E115" s="3" t="n"/>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conditionalFormatting sqref="B12:B111">
    <cfRule type="containsText" priority="1" operator="containsText" dxfId="0" text="LIQUIDITY">
      <formula>NOT(ISERROR(SEARCH("LIQUIDITY",B12)))</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19"/>
  <sheetViews>
    <sheetView topLeftCell="A63" workbookViewId="0">
      <selection activeCell="H102" sqref="H102"/>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30th September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1146155.67</v>
      </c>
      <c r="D12" s="19">
        <f>C12/$C$112</f>
        <v/>
      </c>
      <c r="E12" s="20" t="inlineStr">
        <is>
          <t>B12LZH9</t>
        </is>
      </c>
    </row>
    <row r="13">
      <c r="A13" s="41" t="n">
        <v>33759</v>
      </c>
      <c r="B13" s="2" t="inlineStr">
        <is>
          <t>GOLD FIELDS LTD COMMON STOCK ZAR 50</t>
        </is>
      </c>
      <c r="C13" s="18" t="n">
        <v>1059724.46</v>
      </c>
      <c r="D13" s="19">
        <f>C13/$C$112</f>
        <v/>
      </c>
      <c r="E13" s="20" t="inlineStr">
        <is>
          <t>6280215</t>
        </is>
      </c>
    </row>
    <row r="14">
      <c r="A14" s="41" t="n">
        <v>3052</v>
      </c>
      <c r="B14" s="2" t="inlineStr">
        <is>
          <t>NASPERS LTD COMMON STOCK ZAR 2</t>
        </is>
      </c>
      <c r="C14" s="18" t="n">
        <v>821886.54</v>
      </c>
      <c r="D14" s="19">
        <f>C14/$C$112</f>
        <v/>
      </c>
      <c r="E14" s="20" t="inlineStr">
        <is>
          <t>BN0VX82</t>
        </is>
      </c>
    </row>
    <row r="15">
      <c r="A15" s="41" t="n">
        <v>91310</v>
      </c>
      <c r="B15" s="2" t="inlineStr">
        <is>
          <t>THE SAUDI NATIONAL BANK</t>
        </is>
      </c>
      <c r="C15" s="18" t="n">
        <v>708602.41</v>
      </c>
      <c r="D15" s="19">
        <f>C15/$C$112</f>
        <v/>
      </c>
      <c r="E15" s="20" t="inlineStr">
        <is>
          <t>BSHYYN1</t>
        </is>
      </c>
    </row>
    <row r="16">
      <c r="A16" s="41" t="n">
        <v>173053</v>
      </c>
      <c r="B16" s="2" t="inlineStr">
        <is>
          <t>QATAR NATIONAL BANK QPSC COMMON STOCK QAR 1</t>
        </is>
      </c>
      <c r="C16" s="18" t="n">
        <v>646076.3199999999</v>
      </c>
      <c r="D16" s="19">
        <f>C16/$C$112</f>
        <v/>
      </c>
      <c r="E16" s="20" t="inlineStr">
        <is>
          <t>6148197</t>
        </is>
      </c>
    </row>
    <row r="17">
      <c r="A17" s="41" t="n">
        <v>10590</v>
      </c>
      <c r="B17" s="2" t="inlineStr">
        <is>
          <t>KASPI KZ JSC</t>
        </is>
      </c>
      <c r="C17" s="18" t="n">
        <v>642440.33</v>
      </c>
      <c r="D17" s="19">
        <f>C17/$C$112</f>
        <v/>
      </c>
      <c r="E17" s="20" t="inlineStr">
        <is>
          <t>BJY21K1</t>
        </is>
      </c>
    </row>
    <row r="18">
      <c r="A18" s="41" t="n">
        <v>176284</v>
      </c>
      <c r="B18" s="2" t="inlineStr">
        <is>
          <t>FIRSTRAND LTD COMMON STOCK ZAR 1</t>
        </is>
      </c>
      <c r="C18" s="18" t="n">
        <v>589430.39</v>
      </c>
      <c r="D18" s="19">
        <f>C18/$C$112</f>
        <v/>
      </c>
      <c r="E18" s="20" t="inlineStr">
        <is>
          <t>6606996</t>
        </is>
      </c>
    </row>
    <row r="19">
      <c r="A19" s="41" t="n">
        <v>11030</v>
      </c>
      <c r="B19" s="2" t="inlineStr">
        <is>
          <t>VALTERRA PLATINUM LTD COMMON STOCK ZAR 10</t>
        </is>
      </c>
      <c r="C19" s="18" t="n">
        <v>584648.2</v>
      </c>
      <c r="D19" s="19">
        <f>C19/$C$112</f>
        <v/>
      </c>
      <c r="E19" s="20" t="inlineStr">
        <is>
          <t>6761000</t>
        </is>
      </c>
    </row>
    <row r="20">
      <c r="A20" s="41" t="n">
        <v>201080</v>
      </c>
      <c r="B20" s="2" t="inlineStr">
        <is>
          <t>EMAAR PROPERTIES PJSC COMMON STOCK AED 1</t>
        </is>
      </c>
      <c r="C20" s="18" t="n">
        <v>530680.02</v>
      </c>
      <c r="D20" s="19">
        <f>C20/$C$112</f>
        <v/>
      </c>
      <c r="E20" s="20" t="inlineStr">
        <is>
          <t>B01RM25</t>
        </is>
      </c>
    </row>
    <row r="21">
      <c r="A21" s="41" t="n">
        <v>51656</v>
      </c>
      <c r="B21" s="2" t="inlineStr">
        <is>
          <t>STANDARD BANK GROUP LTD COMMON STOCK ZAR 10</t>
        </is>
      </c>
      <c r="C21" s="18" t="n">
        <v>525719.09</v>
      </c>
      <c r="D21" s="19">
        <f>C21/$C$112</f>
        <v/>
      </c>
      <c r="E21" s="20" t="inlineStr">
        <is>
          <t>B030GJ7</t>
        </is>
      </c>
    </row>
    <row r="22">
      <c r="A22" s="41" t="n">
        <v>117334</v>
      </c>
      <c r="B22" s="2" t="inlineStr">
        <is>
          <t>ABU DHABI ISLAMIC BANK PJSC COMMON STOCK AED 1</t>
        </is>
      </c>
      <c r="C22" s="18" t="n">
        <v>514916.68</v>
      </c>
      <c r="D22" s="19">
        <f>C22/$C$112</f>
        <v/>
      </c>
      <c r="E22" s="20" t="inlineStr">
        <is>
          <t>6001728</t>
        </is>
      </c>
    </row>
    <row r="23">
      <c r="A23" s="41" t="n">
        <v>420883</v>
      </c>
      <c r="B23" s="2" t="inlineStr">
        <is>
          <t>ADNOC LOGISTICS &amp; SERVICES COMMON STOCK AED 1.983</t>
        </is>
      </c>
      <c r="C23" s="18" t="n">
        <v>490272.15</v>
      </c>
      <c r="D23" s="19">
        <f>C23/$C$112</f>
        <v/>
      </c>
      <c r="E23" s="20" t="inlineStr">
        <is>
          <t>BRBN103</t>
        </is>
      </c>
    </row>
    <row r="24">
      <c r="A24" s="41" t="n">
        <v>35872</v>
      </c>
      <c r="B24" s="2" t="inlineStr">
        <is>
          <t>HARMONY GOLD MINING CO LTD COMMON STOCK ZAR 50</t>
        </is>
      </c>
      <c r="C24" s="18" t="n">
        <v>486289.99</v>
      </c>
      <c r="D24" s="19">
        <f>C24/$C$112</f>
        <v/>
      </c>
      <c r="E24" s="20" t="inlineStr">
        <is>
          <t>6410562</t>
        </is>
      </c>
    </row>
    <row r="25">
      <c r="A25" s="41" t="n">
        <v>187147</v>
      </c>
      <c r="B25" s="2" t="inlineStr">
        <is>
          <t>NATIONAL BANK OF KUWAIT SAKP COMMON STOCK KWD 100</t>
        </is>
      </c>
      <c r="C25" s="18" t="n">
        <v>482259.43</v>
      </c>
      <c r="D25" s="19">
        <f>C25/$C$112</f>
        <v/>
      </c>
      <c r="E25" s="20" t="inlineStr">
        <is>
          <t>6889526</t>
        </is>
      </c>
    </row>
    <row r="26">
      <c r="A26" s="41" t="n">
        <v>11905</v>
      </c>
      <c r="B26" s="2" t="inlineStr">
        <is>
          <t>NAC KAZATOMPROM JSC GDR USD</t>
        </is>
      </c>
      <c r="C26" s="18" t="n">
        <v>468683.38</v>
      </c>
      <c r="D26" s="19">
        <f>C26/$C$112</f>
        <v/>
      </c>
      <c r="E26" s="20" t="inlineStr">
        <is>
          <t>BGXQL36</t>
        </is>
      </c>
    </row>
    <row r="27">
      <c r="A27" s="41" t="n">
        <v>15105</v>
      </c>
      <c r="B27" s="2" t="inlineStr">
        <is>
          <t>NOVA LJUBLJANSKA BANKA DD GDR EUR</t>
        </is>
      </c>
      <c r="C27" s="18" t="n">
        <v>457469.72</v>
      </c>
      <c r="D27" s="19">
        <f>C27/$C$112</f>
        <v/>
      </c>
      <c r="E27" s="20" t="inlineStr">
        <is>
          <t>BGRPD22</t>
        </is>
      </c>
    </row>
    <row r="28">
      <c r="A28" s="41" t="n">
        <v>97375</v>
      </c>
      <c r="B28" s="2" t="inlineStr">
        <is>
          <t>SASOL LTD COMMON STOCK ZAR 0</t>
        </is>
      </c>
      <c r="C28" s="18" t="n">
        <v>450522.57</v>
      </c>
      <c r="D28" s="19">
        <f>C28/$C$112</f>
        <v/>
      </c>
      <c r="E28" s="20" t="inlineStr">
        <is>
          <t>6777450</t>
        </is>
      </c>
    </row>
    <row r="29">
      <c r="A29" s="41" t="n">
        <v>59164</v>
      </c>
      <c r="B29" s="2" t="inlineStr">
        <is>
          <t>OPTIMA BANK SA COMMON STOCK EUR 3.45</t>
        </is>
      </c>
      <c r="C29" s="18" t="n">
        <v>433759.46</v>
      </c>
      <c r="D29" s="19">
        <f>C29/$C$112</f>
        <v/>
      </c>
      <c r="E29" s="20" t="inlineStr">
        <is>
          <t>BL571C1</t>
        </is>
      </c>
    </row>
    <row r="30">
      <c r="A30" s="41" t="n">
        <v>221457</v>
      </c>
      <c r="B30" s="2" t="inlineStr">
        <is>
          <t>ALDAR PROPERTIES PJSC COMMON STOCK AED 1</t>
        </is>
      </c>
      <c r="C30" s="18" t="n">
        <v>424571.76</v>
      </c>
      <c r="D30" s="19">
        <f>C30/$C$112</f>
        <v/>
      </c>
      <c r="E30" s="20" t="inlineStr">
        <is>
          <t>B0LX3Y2</t>
        </is>
      </c>
    </row>
    <row r="31">
      <c r="A31" s="41" t="n">
        <v>22162</v>
      </c>
      <c r="B31" s="2" t="inlineStr">
        <is>
          <t>HALYK SAVINGS BANK OF KAZAKHSTAN JSC GDR USD</t>
        </is>
      </c>
      <c r="C31" s="18" t="n">
        <v>413196.8</v>
      </c>
      <c r="D31" s="19">
        <f>C31/$C$112</f>
        <v/>
      </c>
      <c r="E31" s="20" t="inlineStr">
        <is>
          <t>B1KDG41</t>
        </is>
      </c>
    </row>
    <row r="32">
      <c r="A32" s="41" t="n">
        <v>9734</v>
      </c>
      <c r="B32" s="2" t="inlineStr">
        <is>
          <t>METLEN ENERGY &amp; METALS PLC COMMON STOCK EUR 11</t>
        </is>
      </c>
      <c r="C32" s="18" t="n">
        <v>401850.61</v>
      </c>
      <c r="D32" s="19">
        <f>C32/$C$112</f>
        <v/>
      </c>
      <c r="E32" s="20" t="inlineStr">
        <is>
          <t>BTQGS77</t>
        </is>
      </c>
    </row>
    <row r="33">
      <c r="A33" s="41" t="n">
        <v>646</v>
      </c>
      <c r="B33" s="2" t="inlineStr">
        <is>
          <t>BENEFIT SYSTEMS SA COMMON STOCK PLN 1</t>
        </is>
      </c>
      <c r="C33" s="18" t="n">
        <v>400113.18</v>
      </c>
      <c r="D33" s="19">
        <f>C33/$C$112</f>
        <v/>
      </c>
      <c r="E33" s="20" t="inlineStr">
        <is>
          <t>B4XY9X2</t>
        </is>
      </c>
    </row>
    <row r="34">
      <c r="A34" s="41" t="n">
        <v>35906</v>
      </c>
      <c r="B34" s="2" t="inlineStr">
        <is>
          <t>NATIONAL BANK OF GREECE SA COMMON STOCK EUR 1</t>
        </is>
      </c>
      <c r="C34" s="18" t="n">
        <v>386091.18</v>
      </c>
      <c r="D34" s="19">
        <f>C34/$C$112</f>
        <v/>
      </c>
      <c r="E34" s="20" t="inlineStr">
        <is>
          <t>BG087C6</t>
        </is>
      </c>
    </row>
    <row r="35">
      <c r="A35" s="41" t="n">
        <v>57145</v>
      </c>
      <c r="B35" s="2" t="inlineStr">
        <is>
          <t>PIRAEUS FINANCIAL HOLDINGS SA COMMON STOCK EUR 0.93</t>
        </is>
      </c>
      <c r="C35" s="18" t="n">
        <v>359804.44</v>
      </c>
      <c r="D35" s="19">
        <f>C35/$C$112</f>
        <v/>
      </c>
      <c r="E35" s="20" t="inlineStr">
        <is>
          <t>BNC0DB0</t>
        </is>
      </c>
    </row>
    <row r="36">
      <c r="A36" s="41" t="n">
        <v>184728</v>
      </c>
      <c r="B36" s="2" t="inlineStr">
        <is>
          <t>DUBAI ISLAMIC BANK PJSC COMMON STOCK AED 1</t>
        </is>
      </c>
      <c r="C36" s="18" t="n">
        <v>355650.18</v>
      </c>
      <c r="D36" s="19">
        <f>C36/$C$112</f>
        <v/>
      </c>
      <c r="E36" s="20" t="inlineStr">
        <is>
          <t>6283452</t>
        </is>
      </c>
    </row>
    <row r="37">
      <c r="A37" s="41" t="n">
        <v>108419</v>
      </c>
      <c r="B37" s="2" t="inlineStr">
        <is>
          <t>ADES HOLDING CO COMMON STOCK SAR 1</t>
        </is>
      </c>
      <c r="C37" s="18" t="n">
        <v>348532.89</v>
      </c>
      <c r="D37" s="19">
        <f>C37/$C$112</f>
        <v/>
      </c>
      <c r="E37" s="20" t="inlineStr">
        <is>
          <t>BR56KM3</t>
        </is>
      </c>
    </row>
    <row r="38">
      <c r="A38" s="41" t="n">
        <v>108243</v>
      </c>
      <c r="B38" s="2" t="inlineStr">
        <is>
          <t>ALPHA BANK SA COMMON STOCK EUR 0.3</t>
        </is>
      </c>
      <c r="C38" s="18" t="n">
        <v>341334.3</v>
      </c>
      <c r="D38" s="19">
        <f>C38/$C$112</f>
        <v/>
      </c>
      <c r="E38" s="20" t="inlineStr">
        <is>
          <t>BTJZ707</t>
        </is>
      </c>
    </row>
    <row r="39">
      <c r="A39" s="41" t="n">
        <v>118590</v>
      </c>
      <c r="B39" s="2" t="inlineStr">
        <is>
          <t>EUROBANK ERGASIAS SERVICES AND HOLDINGS SA COMMON STOCK EUR 0.22</t>
        </is>
      </c>
      <c r="C39" s="18" t="n">
        <v>339702.54</v>
      </c>
      <c r="D39" s="19">
        <f>C39/$C$112</f>
        <v/>
      </c>
      <c r="E39" s="20" t="inlineStr">
        <is>
          <t>BYZ43T4</t>
        </is>
      </c>
    </row>
    <row r="40">
      <c r="A40" s="41" t="n">
        <v>288479</v>
      </c>
      <c r="B40" s="2" t="inlineStr">
        <is>
          <t>AKBANK TAS COMMON STOCK TRY 1</t>
        </is>
      </c>
      <c r="C40" s="18" t="n">
        <v>322864.17</v>
      </c>
      <c r="D40" s="19">
        <f>C40/$C$112</f>
        <v/>
      </c>
      <c r="E40" s="20" t="inlineStr">
        <is>
          <t>B03MN70</t>
        </is>
      </c>
    </row>
    <row r="41">
      <c r="A41" s="41" t="n">
        <v>69157</v>
      </c>
      <c r="B41" s="2" t="inlineStr">
        <is>
          <t>ARABIAN CENTRES CO COMMON STOCK SAR 10</t>
        </is>
      </c>
      <c r="C41" s="18" t="n">
        <v>309573.97</v>
      </c>
      <c r="D41" s="19">
        <f>C41/$C$112</f>
        <v/>
      </c>
      <c r="E41" s="20" t="inlineStr">
        <is>
          <t>BKBF694</t>
        </is>
      </c>
    </row>
    <row r="42">
      <c r="A42" s="41" t="n">
        <v>43960</v>
      </c>
      <c r="B42" s="45" t="inlineStr">
        <is>
          <t>BANK OF CYPRUS HOLDINGS PLC COMMON STOCK EUR 0.1</t>
        </is>
      </c>
      <c r="C42" s="18" t="n">
        <v>308479.2</v>
      </c>
      <c r="D42" s="19">
        <f>C42/$C$112</f>
        <v/>
      </c>
      <c r="E42" s="20" t="inlineStr">
        <is>
          <t>BN2BZT5</t>
        </is>
      </c>
    </row>
    <row r="43">
      <c r="A43" s="41" t="n">
        <v>145136</v>
      </c>
      <c r="B43" s="2" t="inlineStr">
        <is>
          <t>SIBANYE STILLWATER LTD COMMON STOCK ZAR</t>
        </is>
      </c>
      <c r="C43" s="18" t="n">
        <v>308003.9</v>
      </c>
      <c r="D43" s="19">
        <f>C43/$C$112</f>
        <v/>
      </c>
      <c r="E43" s="20" t="inlineStr">
        <is>
          <t>BL0L913</t>
        </is>
      </c>
    </row>
    <row r="44">
      <c r="A44" s="41" t="n">
        <v>54728</v>
      </c>
      <c r="B44" s="2" t="inlineStr">
        <is>
          <t>RIYAD BANK COMMON STOCK SAR 10</t>
        </is>
      </c>
      <c r="C44" s="18" t="n">
        <v>294848.1</v>
      </c>
      <c r="D44" s="19">
        <f>C44/$C$112</f>
        <v/>
      </c>
      <c r="E44" s="20" t="inlineStr">
        <is>
          <t>B12LZW4</t>
        </is>
      </c>
    </row>
    <row r="45">
      <c r="A45" s="41" t="n">
        <v>362649</v>
      </c>
      <c r="B45" s="2" t="inlineStr">
        <is>
          <t>LUKOIL PJSC COMMON STOCK RUB 0.025 RUB</t>
        </is>
      </c>
      <c r="C45" s="18" t="n">
        <v>168270.93</v>
      </c>
      <c r="D45" s="19">
        <f>C45/$C$112</f>
        <v/>
      </c>
      <c r="E45" s="20" t="inlineStr">
        <is>
          <t>X84C974</t>
        </is>
      </c>
    </row>
    <row r="46">
      <c r="A46" s="41" t="n">
        <v>262047</v>
      </c>
      <c r="B46" s="2" t="inlineStr">
        <is>
          <t>LUKOIL PJSC COMMON STOCK RUB</t>
        </is>
      </c>
      <c r="C46" s="18" t="n">
        <v>121381.88</v>
      </c>
      <c r="D46" s="19">
        <f>C46/$C$112</f>
        <v/>
      </c>
      <c r="E46" s="20" t="inlineStr">
        <is>
          <t>X84D1F5</t>
        </is>
      </c>
    </row>
    <row r="47">
      <c r="A47" s="28" t="n"/>
      <c r="B47" s="27" t="inlineStr">
        <is>
          <t>Subtotal</t>
        </is>
      </c>
      <c r="C47" s="29">
        <f>+C46+C45</f>
        <v/>
      </c>
      <c r="D47" s="31">
        <f>C47/$C$115</f>
        <v/>
      </c>
      <c r="E47" s="20" t="n"/>
    </row>
    <row r="48">
      <c r="A48" s="41" t="n">
        <v>24898</v>
      </c>
      <c r="B48" s="2" t="inlineStr">
        <is>
          <t>SARANTIS SA EUR1.53</t>
        </is>
      </c>
      <c r="C48" s="18" t="n">
        <v>281631.75</v>
      </c>
      <c r="D48" s="19">
        <f>C48/$C$112</f>
        <v/>
      </c>
      <c r="E48" s="20" t="inlineStr">
        <is>
          <t>7124958</t>
        </is>
      </c>
    </row>
    <row r="49">
      <c r="A49" s="41" t="n">
        <v>23805</v>
      </c>
      <c r="B49" s="2" t="inlineStr">
        <is>
          <t>SHOPRITE HOLDINGS LTD COMMON STOCK ZAR 113.4</t>
        </is>
      </c>
      <c r="C49" s="18" t="n">
        <v>280838.63</v>
      </c>
      <c r="D49" s="19">
        <f>C49/$C$112</f>
        <v/>
      </c>
      <c r="E49" s="20" t="inlineStr">
        <is>
          <t>6801575</t>
        </is>
      </c>
    </row>
    <row r="50">
      <c r="A50" s="41" t="n">
        <v>35367</v>
      </c>
      <c r="B50" s="45" t="inlineStr">
        <is>
          <t>ABSA GROUP LTD</t>
        </is>
      </c>
      <c r="C50" s="18" t="n">
        <v>275749.63</v>
      </c>
      <c r="D50" s="19">
        <f>C50/$C$112</f>
        <v/>
      </c>
      <c r="E50" s="20" t="inlineStr">
        <is>
          <t>BFX05H3</t>
        </is>
      </c>
    </row>
    <row r="51">
      <c r="A51" s="41" t="n">
        <v>19168</v>
      </c>
      <c r="B51" s="2" t="inlineStr">
        <is>
          <t>KUMBA IRON ORE LTD COMMON STOCK ZAR 0.01</t>
        </is>
      </c>
      <c r="C51" s="18" t="n">
        <v>268049.54</v>
      </c>
      <c r="D51" s="19">
        <f>C51/$C$112</f>
        <v/>
      </c>
      <c r="E51" s="20" t="inlineStr">
        <is>
          <t>B1G4262</t>
        </is>
      </c>
    </row>
    <row r="52">
      <c r="A52" s="41" t="n">
        <v>17938</v>
      </c>
      <c r="B52" s="2" t="inlineStr">
        <is>
          <t>POWSZECHNA KASA OSZCZEDNOSCI BANK POLSKI SA COMMON STOCK PLN 1</t>
        </is>
      </c>
      <c r="C52" s="18" t="n">
        <v>258272.31</v>
      </c>
      <c r="D52" s="19">
        <f>C52/$C$112</f>
        <v/>
      </c>
      <c r="E52" s="20" t="inlineStr">
        <is>
          <t>B03NGS5</t>
        </is>
      </c>
    </row>
    <row r="53">
      <c r="A53" s="41" t="n">
        <v>71</v>
      </c>
      <c r="B53" s="2" t="inlineStr">
        <is>
          <t>LPP SA COMMON STOCK PLN 2</t>
        </is>
      </c>
      <c r="C53" s="18" t="n">
        <v>256873.83</v>
      </c>
      <c r="D53" s="19">
        <f>C53/$C$112</f>
        <v/>
      </c>
      <c r="E53" s="20" t="inlineStr">
        <is>
          <t>7127979</t>
        </is>
      </c>
    </row>
    <row r="54">
      <c r="A54" s="41" t="n">
        <v>23041</v>
      </c>
      <c r="B54" s="2" t="inlineStr">
        <is>
          <t>POWSZECHNY ZAKLAD UBEZPIECZEN SA COMMON STOCK PLN 0.1</t>
        </is>
      </c>
      <c r="C54" s="18" t="n">
        <v>256357.43</v>
      </c>
      <c r="D54" s="19">
        <f>C54/$C$112</f>
        <v/>
      </c>
      <c r="E54" s="20" t="inlineStr">
        <is>
          <t>B63DG21</t>
        </is>
      </c>
    </row>
    <row r="55">
      <c r="A55" s="41" t="n">
        <v>70776</v>
      </c>
      <c r="B55" s="2" t="inlineStr">
        <is>
          <t>SANLAM LTD COMMON STOCK ZAR 1</t>
        </is>
      </c>
      <c r="C55" s="18" t="n">
        <v>254658.78</v>
      </c>
      <c r="D55" s="19">
        <f>C55/$C$112</f>
        <v/>
      </c>
      <c r="E55" s="20" t="inlineStr">
        <is>
          <t>B0L6750</t>
        </is>
      </c>
    </row>
    <row r="56">
      <c r="A56" s="41" t="n">
        <v>1487796</v>
      </c>
      <c r="B56" s="2" t="inlineStr">
        <is>
          <t>TURKIYE SIGORTA AS COMMON STOCK TRY 1</t>
        </is>
      </c>
      <c r="C56" s="18" t="n">
        <v>246647.06</v>
      </c>
      <c r="D56" s="19">
        <f>C56/$C$112</f>
        <v/>
      </c>
      <c r="E56" s="20" t="inlineStr">
        <is>
          <t>B03MTD8</t>
        </is>
      </c>
    </row>
    <row r="57">
      <c r="A57" s="41" t="n">
        <v>43441</v>
      </c>
      <c r="B57" s="2" t="inlineStr">
        <is>
          <t>TURK HAVA YOLLARI AO COMMON STOCK TRY 1</t>
        </is>
      </c>
      <c r="C57" s="18" t="n">
        <v>244452.76</v>
      </c>
      <c r="D57" s="19">
        <f>C57/$C$112</f>
        <v/>
      </c>
      <c r="E57" s="20" t="inlineStr">
        <is>
          <t>B03MYK0</t>
        </is>
      </c>
    </row>
    <row r="58">
      <c r="A58" s="41" t="n">
        <v>8779</v>
      </c>
      <c r="B58" s="2" t="inlineStr">
        <is>
          <t>ALKHORAYEF WATER &amp; POWER TECHNOLOGIES CO COMMON STOCK SAR 10</t>
        </is>
      </c>
      <c r="C58" s="18" t="n">
        <v>243614.44</v>
      </c>
      <c r="D58" s="19">
        <f>C58/$C$112</f>
        <v/>
      </c>
      <c r="E58" s="20" t="inlineStr">
        <is>
          <t>BN33QN1</t>
        </is>
      </c>
    </row>
    <row r="59">
      <c r="A59" s="41" t="n">
        <v>36804</v>
      </c>
      <c r="B59" s="2" t="inlineStr">
        <is>
          <t>SAUDI AWWAL BANK COMMON STOCK SAR 10</t>
        </is>
      </c>
      <c r="C59" s="18" t="n">
        <v>233856.39</v>
      </c>
      <c r="D59" s="19">
        <f>C59/$C$112</f>
        <v/>
      </c>
      <c r="E59" s="20" t="inlineStr">
        <is>
          <t>B12LSY7</t>
        </is>
      </c>
    </row>
    <row r="60">
      <c r="A60" s="41" t="n">
        <v>1238</v>
      </c>
      <c r="B60" s="2" t="inlineStr">
        <is>
          <t>GRUPA KETY SA COMMON STOCK PLN 2.5</t>
        </is>
      </c>
      <c r="C60" s="18" t="n">
        <v>233329.36</v>
      </c>
      <c r="D60" s="19">
        <f>C60/$C$112</f>
        <v/>
      </c>
      <c r="E60" s="20" t="inlineStr">
        <is>
          <t>5216385</t>
        </is>
      </c>
    </row>
    <row r="61">
      <c r="A61" s="41" t="n">
        <v>130387</v>
      </c>
      <c r="B61" s="2" t="inlineStr">
        <is>
          <t>TURKCELL ILETISIM HIZMET AS</t>
        </is>
      </c>
      <c r="C61" s="18" t="n">
        <v>227802.1</v>
      </c>
      <c r="D61" s="19">
        <f>C61/$C$112</f>
        <v/>
      </c>
      <c r="E61" s="20" t="inlineStr">
        <is>
          <t>B03MYN3</t>
        </is>
      </c>
    </row>
    <row r="62">
      <c r="A62" s="41" t="n">
        <v>127144</v>
      </c>
      <c r="B62" s="2" t="inlineStr">
        <is>
          <t>FORD OTOMOTIV SANAYI AS COMMON STOCK TRY 1</t>
        </is>
      </c>
      <c r="C62" s="18" t="n">
        <v>224975.34</v>
      </c>
      <c r="D62" s="19">
        <f>C62/$C$112</f>
        <v/>
      </c>
      <c r="E62" s="20" t="inlineStr">
        <is>
          <t>B03MSR5</t>
        </is>
      </c>
    </row>
    <row r="63">
      <c r="A63" s="41" t="n">
        <v>1247</v>
      </c>
      <c r="B63" s="2" t="inlineStr">
        <is>
          <t>ELM CO COMMON STOCK SAR 10</t>
        </is>
      </c>
      <c r="C63" s="18" t="n">
        <v>221183.08</v>
      </c>
      <c r="D63" s="19">
        <f>C63/$C$112</f>
        <v/>
      </c>
      <c r="E63" s="20" t="inlineStr">
        <is>
          <t>BNYDSH8</t>
        </is>
      </c>
    </row>
    <row r="64">
      <c r="A64" s="41" t="n">
        <v>8834</v>
      </c>
      <c r="B64" s="2" t="inlineStr">
        <is>
          <t>RIYADH CABLES GROUP CO COMMON STOCK SAR 10</t>
        </is>
      </c>
      <c r="C64" s="18" t="n">
        <v>220994.06</v>
      </c>
      <c r="D64" s="19">
        <f>C64/$C$112</f>
        <v/>
      </c>
      <c r="E64" s="20" t="inlineStr">
        <is>
          <t>BNBPXW7</t>
        </is>
      </c>
    </row>
    <row r="65">
      <c r="A65" s="41" t="n">
        <v>118565</v>
      </c>
      <c r="B65" s="2" t="inlineStr">
        <is>
          <t>EMIRATES INTEGRATED TELECOMMUNICATIONS CO PJSC COMMON STOCK AED 1</t>
        </is>
      </c>
      <c r="C65" s="18" t="n">
        <v>220596.03</v>
      </c>
      <c r="D65" s="19">
        <f>C65/$C$112</f>
        <v/>
      </c>
      <c r="E65" s="20" t="inlineStr">
        <is>
          <t>B13TMN7</t>
        </is>
      </c>
    </row>
    <row r="66">
      <c r="A66" s="41" t="n">
        <v>23559</v>
      </c>
      <c r="B66" s="2" t="inlineStr">
        <is>
          <t>NEDBANK GROUP LTD COMMON STOCK ZAR 100</t>
        </is>
      </c>
      <c r="C66" s="18" t="n">
        <v>216478.22</v>
      </c>
      <c r="D66" s="19">
        <f>C66/$C$112</f>
        <v/>
      </c>
      <c r="E66" s="20" t="inlineStr">
        <is>
          <t>6628008</t>
        </is>
      </c>
    </row>
    <row r="67">
      <c r="A67" s="41" t="n">
        <v>8860909</v>
      </c>
      <c r="B67" s="2" t="inlineStr">
        <is>
          <t>GAZPROM PJSC COMMON STOCK RUB</t>
        </is>
      </c>
      <c r="C67" s="18" t="n">
        <v>189551.38</v>
      </c>
      <c r="D67" s="19">
        <f>C67/$C$112</f>
        <v/>
      </c>
      <c r="E67" s="20" t="inlineStr">
        <is>
          <t>X8C529A</t>
        </is>
      </c>
    </row>
    <row r="68">
      <c r="A68" s="41" t="n">
        <v>5365084</v>
      </c>
      <c r="B68" s="2" t="inlineStr">
        <is>
          <t>GAZPROM PJSC ADR</t>
        </is>
      </c>
      <c r="C68" s="18" t="n">
        <v>23169.99</v>
      </c>
      <c r="D68" s="19">
        <f>C68/$C$112</f>
        <v/>
      </c>
      <c r="E68" s="20" t="inlineStr">
        <is>
          <t>X84C976</t>
        </is>
      </c>
    </row>
    <row r="69">
      <c r="A69" s="28" t="n"/>
      <c r="B69" s="27" t="inlineStr">
        <is>
          <t>Subtotal</t>
        </is>
      </c>
      <c r="C69" s="29">
        <f>+C68+C67</f>
        <v/>
      </c>
      <c r="D69" s="31">
        <f>C69/$C$115</f>
        <v/>
      </c>
      <c r="E69" s="38" t="n"/>
    </row>
    <row r="70">
      <c r="A70" s="41" t="n">
        <v>41881</v>
      </c>
      <c r="B70" s="2" t="inlineStr">
        <is>
          <t>ARAB NATIONAL BANK COMMON STOCK SAR 10</t>
        </is>
      </c>
      <c r="C70" s="18" t="n">
        <v>204979.13</v>
      </c>
      <c r="D70" s="19">
        <f>C70/$C$112</f>
        <v/>
      </c>
      <c r="E70" s="20" t="inlineStr">
        <is>
          <t>B12LZK2</t>
        </is>
      </c>
    </row>
    <row r="71">
      <c r="A71" s="41" t="n">
        <v>182204</v>
      </c>
      <c r="B71" s="2" t="inlineStr">
        <is>
          <t>PARKIN CO PJSC COMMON STOCK AED 0.02</t>
        </is>
      </c>
      <c r="C71" s="18" t="n">
        <v>200820.37</v>
      </c>
      <c r="D71" s="19">
        <f>C71/$C$112</f>
        <v/>
      </c>
      <c r="E71" s="20" t="inlineStr">
        <is>
          <t>BRRGQF6</t>
        </is>
      </c>
    </row>
    <row r="72">
      <c r="A72" s="41" t="n">
        <v>14455036</v>
      </c>
      <c r="B72" s="2" t="inlineStr">
        <is>
          <t>SBERBANK OF RUSSIA PJSC PREFERENCE RUB 3</t>
        </is>
      </c>
      <c r="C72" s="18" t="n">
        <v>170578.98</v>
      </c>
      <c r="D72" s="19">
        <f>C72/$C$112</f>
        <v/>
      </c>
      <c r="E72" s="20" t="inlineStr">
        <is>
          <t>X8C6155</t>
        </is>
      </c>
    </row>
    <row r="73">
      <c r="A73" s="41" t="n">
        <v>2355925</v>
      </c>
      <c r="B73" s="2" t="inlineStr">
        <is>
          <t>SBERBANK OF RUSSIA PJSC</t>
        </is>
      </c>
      <c r="C73" s="18" t="n">
        <v>27600.54</v>
      </c>
      <c r="D73" s="19">
        <f>C73/$C$112</f>
        <v/>
      </c>
      <c r="E73" s="20" t="inlineStr">
        <is>
          <t>X8C6398</t>
        </is>
      </c>
    </row>
    <row r="74">
      <c r="A74" s="41" t="n"/>
      <c r="B74" s="27" t="inlineStr">
        <is>
          <t>Subtotal</t>
        </is>
      </c>
      <c r="C74" s="29">
        <f>+C73+C72</f>
        <v/>
      </c>
      <c r="D74" s="31">
        <f>C74/$C$115</f>
        <v/>
      </c>
      <c r="E74" s="38" t="n"/>
    </row>
    <row r="75">
      <c r="A75" s="41" t="n">
        <v>13207</v>
      </c>
      <c r="B75" s="2" t="inlineStr">
        <is>
          <t>UNITED INTERNATIONAL TRANSPORTATION CO COMMON STOCK SAR 10</t>
        </is>
      </c>
      <c r="C75" s="18" t="n">
        <v>193054.71</v>
      </c>
      <c r="D75" s="19">
        <f>C75/$C$112</f>
        <v/>
      </c>
      <c r="E75" s="20" t="inlineStr">
        <is>
          <t>B2493D0</t>
        </is>
      </c>
    </row>
    <row r="76">
      <c r="A76" s="41" t="n">
        <v>21418</v>
      </c>
      <c r="B76" s="2" t="inlineStr">
        <is>
          <t>ATHENS INTERNATIONAL AIRPORT SA COMMON STOCK EUR 1</t>
        </is>
      </c>
      <c r="C76" s="18" t="n">
        <v>191608.57</v>
      </c>
      <c r="D76" s="19">
        <f>C76/$C$112</f>
        <v/>
      </c>
      <c r="E76" s="20" t="inlineStr">
        <is>
          <t>BPYS8N3</t>
        </is>
      </c>
    </row>
    <row r="77">
      <c r="A77" s="41" t="n">
        <v>20472</v>
      </c>
      <c r="B77" s="2" t="inlineStr">
        <is>
          <t>SAUDI GROUND SERVICES CO COMMON STOCK SAR 10</t>
        </is>
      </c>
      <c r="C77" s="18" t="n">
        <v>188715.04</v>
      </c>
      <c r="D77" s="19">
        <f>C77/$C$112</f>
        <v/>
      </c>
      <c r="E77" s="20" t="inlineStr">
        <is>
          <t>BYYTJ69</t>
        </is>
      </c>
    </row>
    <row r="78">
      <c r="A78" s="41" t="n">
        <v>196322</v>
      </c>
      <c r="B78" s="2" t="inlineStr">
        <is>
          <t>QATAR GAS TRANSPORT CO LTD COMMON STOCK QAR 1</t>
        </is>
      </c>
      <c r="C78" s="18" t="n">
        <v>183277.26</v>
      </c>
      <c r="D78" s="19">
        <f>C78/$C$112</f>
        <v/>
      </c>
      <c r="E78" s="20" t="inlineStr">
        <is>
          <t>B0MLBC9</t>
        </is>
      </c>
    </row>
    <row r="79">
      <c r="A79" s="41" t="n">
        <v>6262</v>
      </c>
      <c r="B79" s="2" t="inlineStr">
        <is>
          <t>LEEJAM SPORTS CO JSC COMMON STOCK SAR 10</t>
        </is>
      </c>
      <c r="C79" s="18" t="n">
        <v>176621.23</v>
      </c>
      <c r="D79" s="19">
        <f>C79/$C$112</f>
        <v/>
      </c>
      <c r="E79" s="20" t="inlineStr">
        <is>
          <t>BF12ZV5</t>
        </is>
      </c>
    </row>
    <row r="80">
      <c r="A80" s="41" t="n">
        <v>1803</v>
      </c>
      <c r="B80" s="2" t="inlineStr">
        <is>
          <t>KRUK SA COMMON STOCK PLN 1</t>
        </is>
      </c>
      <c r="C80" s="18" t="n">
        <v>169040.72</v>
      </c>
      <c r="D80" s="19">
        <f>C80/$C$112</f>
        <v/>
      </c>
      <c r="E80" s="20" t="inlineStr">
        <is>
          <t>B4PTLY0</t>
        </is>
      </c>
    </row>
    <row r="81">
      <c r="A81" s="41" t="n">
        <v>1268490</v>
      </c>
      <c r="B81" s="2" t="inlineStr">
        <is>
          <t>NOVATEK PJSC COMMON STOCK RUB 0.1</t>
        </is>
      </c>
      <c r="C81" s="18" t="n">
        <v>144933.57</v>
      </c>
      <c r="D81" s="19">
        <f>C81/$C$112</f>
        <v/>
      </c>
      <c r="E81" s="20" t="inlineStr">
        <is>
          <t>X84C972</t>
        </is>
      </c>
    </row>
    <row r="82">
      <c r="A82" s="41" t="n">
        <v>103572</v>
      </c>
      <c r="B82" s="2" t="inlineStr">
        <is>
          <t>NOVATEK PJSC COMMON STOCK RUB 0.1</t>
        </is>
      </c>
      <c r="C82" s="18" t="n">
        <v>11813.44</v>
      </c>
      <c r="D82" s="19">
        <f>C82/$C$112</f>
        <v/>
      </c>
      <c r="E82" s="20" t="inlineStr">
        <is>
          <t>X84C970</t>
        </is>
      </c>
    </row>
    <row r="83">
      <c r="A83" s="28" t="n"/>
      <c r="B83" s="27" t="inlineStr">
        <is>
          <t>Subtotal</t>
        </is>
      </c>
      <c r="C83" s="29">
        <f>+C82+C81</f>
        <v/>
      </c>
      <c r="D83" s="31">
        <f>C83/$C$115</f>
        <v/>
      </c>
      <c r="E83" s="38" t="n"/>
    </row>
    <row r="84">
      <c r="A84" s="41" t="n">
        <v>57584</v>
      </c>
      <c r="B84" s="2" t="inlineStr">
        <is>
          <t>EMAAR DEVELOPMENT PJSC COMMON STOCK AED 1</t>
        </is>
      </c>
      <c r="C84" s="18" t="n">
        <v>156048.64</v>
      </c>
      <c r="D84" s="19">
        <f>C84/$C$112</f>
        <v/>
      </c>
      <c r="E84" s="20" t="inlineStr">
        <is>
          <t>BDG1977</t>
        </is>
      </c>
    </row>
    <row r="85">
      <c r="A85" s="41" t="n">
        <v>234111</v>
      </c>
      <c r="B85" s="2" t="inlineStr">
        <is>
          <t>TECOM GROUP PJSC COMMON STOCK AED 0.1</t>
        </is>
      </c>
      <c r="C85" s="18" t="n">
        <v>152924.72</v>
      </c>
      <c r="D85" s="19">
        <f>C85/$C$112</f>
        <v/>
      </c>
      <c r="E85" s="20" t="inlineStr">
        <is>
          <t>BLDC8Q1</t>
        </is>
      </c>
    </row>
    <row r="86">
      <c r="A86" s="41" t="n">
        <v>6134</v>
      </c>
      <c r="B86" s="2" t="inlineStr">
        <is>
          <t>ALDREES PETROLEUM AND TRANSPORT SERVICES CO COMMON STOCK SAR 10</t>
        </is>
      </c>
      <c r="C86" s="18" t="n">
        <v>152235.06</v>
      </c>
      <c r="D86" s="19">
        <f>C86/$C$112</f>
        <v/>
      </c>
      <c r="E86" s="20" t="inlineStr">
        <is>
          <t>B128FF8</t>
        </is>
      </c>
    </row>
    <row r="87">
      <c r="A87" s="41" t="n">
        <v>7795</v>
      </c>
      <c r="B87" s="2" t="inlineStr">
        <is>
          <t>UNITED ELECTRONICS CO COMMON STOCK SAR</t>
        </is>
      </c>
      <c r="C87" s="18" t="n">
        <v>138338.79</v>
      </c>
      <c r="D87" s="19">
        <f>C87/$C$112</f>
        <v/>
      </c>
      <c r="E87" s="20" t="inlineStr">
        <is>
          <t>B4P2SD7</t>
        </is>
      </c>
    </row>
    <row r="88">
      <c r="A88" s="41" t="n">
        <v>2568</v>
      </c>
      <c r="B88" s="2" t="inlineStr">
        <is>
          <t>SAUDIA DAIRY &amp; FOODSTUFF CO COMMON STOCK SAR 10</t>
        </is>
      </c>
      <c r="C88" s="18" t="n">
        <v>137334.18</v>
      </c>
      <c r="D88" s="19">
        <f>C88/$C$112</f>
        <v/>
      </c>
      <c r="E88" s="20" t="inlineStr">
        <is>
          <t>B133P41</t>
        </is>
      </c>
    </row>
    <row r="89">
      <c r="A89" s="41" t="n">
        <v>53407</v>
      </c>
      <c r="B89" s="2" t="inlineStr">
        <is>
          <t>TURKIYE GARANTI BANKASI AS COMMON STOCK TRY 1</t>
        </is>
      </c>
      <c r="C89" s="18" t="n">
        <v>133284.35</v>
      </c>
      <c r="D89" s="19">
        <f>C89/$C$112</f>
        <v/>
      </c>
      <c r="E89" s="20" t="inlineStr">
        <is>
          <t>B03MYP5</t>
        </is>
      </c>
    </row>
    <row r="90">
      <c r="A90" s="41" t="n">
        <v>7119200</v>
      </c>
      <c r="B90" s="2" t="inlineStr">
        <is>
          <t>MMC NORILSK NICKEL PJSC COMMON STOCK RUB 1</t>
        </is>
      </c>
      <c r="C90" s="18" t="n">
        <v>127641.85</v>
      </c>
      <c r="D90" s="19">
        <f>C90/$C$112</f>
        <v/>
      </c>
      <c r="E90" s="20" t="inlineStr">
        <is>
          <t>X84C977</t>
        </is>
      </c>
    </row>
    <row r="91">
      <c r="A91" s="41" t="n">
        <v>6774</v>
      </c>
      <c r="B91" s="2" t="inlineStr">
        <is>
          <t>JERONIMO MARTINS SGPS SA COMMON STOCK EUR 1</t>
        </is>
      </c>
      <c r="C91" s="18" t="n">
        <v>122384.86</v>
      </c>
      <c r="D91" s="19">
        <f>C91/$C$112</f>
        <v/>
      </c>
      <c r="E91" s="20" t="inlineStr">
        <is>
          <t>B1Y1SQ7</t>
        </is>
      </c>
    </row>
    <row r="92">
      <c r="A92" s="41" t="n">
        <v>2041744</v>
      </c>
      <c r="B92" s="2" t="inlineStr">
        <is>
          <t>ROSNEFT OIL CO PJSC COMMON STOCK RUB 0.01</t>
        </is>
      </c>
      <c r="C92" s="18" t="n">
        <v>56454.39</v>
      </c>
      <c r="D92" s="19">
        <f>C92/$C$112</f>
        <v/>
      </c>
      <c r="E92" s="20" t="inlineStr">
        <is>
          <t>X84C971</t>
        </is>
      </c>
    </row>
    <row r="93">
      <c r="A93" s="41" t="n">
        <v>1677948</v>
      </c>
      <c r="B93" s="2" t="inlineStr">
        <is>
          <t>ROSNEFT OIL CO PJSC COMMON STOCK RUB</t>
        </is>
      </c>
      <c r="C93" s="18" t="n">
        <v>46531.77</v>
      </c>
      <c r="D93" s="19">
        <f>C93/$C$112</f>
        <v/>
      </c>
      <c r="E93" s="20" t="inlineStr">
        <is>
          <t>X84D1F9</t>
        </is>
      </c>
    </row>
    <row r="94">
      <c r="A94" s="28" t="n"/>
      <c r="B94" s="27" t="inlineStr">
        <is>
          <t>Subtotal</t>
        </is>
      </c>
      <c r="C94" s="29">
        <f>+C93+C92</f>
        <v/>
      </c>
      <c r="D94" s="31">
        <f>C94/$C$115</f>
        <v/>
      </c>
      <c r="E94" s="38" t="n"/>
    </row>
    <row r="95">
      <c r="A95" s="41" t="n">
        <v>3657350</v>
      </c>
      <c r="B95" s="2" t="inlineStr">
        <is>
          <t>NOVOLIPETSK STEEL PJSC COMMON STOCK RUB</t>
        </is>
      </c>
      <c r="C95" s="18" t="n">
        <v>61743.06</v>
      </c>
      <c r="D95" s="19">
        <f>C95/$C$112</f>
        <v/>
      </c>
      <c r="E95" s="20" t="inlineStr">
        <is>
          <t>X84C97E</t>
        </is>
      </c>
    </row>
    <row r="96">
      <c r="A96" s="41" t="n">
        <v>180877</v>
      </c>
      <c r="B96" s="2" t="inlineStr">
        <is>
          <t>MAGNIT PJSC COMMON STOCK RUB 0.01</t>
        </is>
      </c>
      <c r="C96" s="18" t="n">
        <v>50337.39</v>
      </c>
      <c r="D96" s="19">
        <f>C96/$C$112</f>
        <v/>
      </c>
      <c r="E96" s="20" t="inlineStr">
        <is>
          <t>X8C505A</t>
        </is>
      </c>
    </row>
    <row r="97">
      <c r="A97" s="41" t="n">
        <v>1265335</v>
      </c>
      <c r="B97" s="2" t="inlineStr">
        <is>
          <t>GAZPROM NEFT PJSC COMMON STOCK RUB</t>
        </is>
      </c>
      <c r="C97" s="18" t="n">
        <v>45488.28</v>
      </c>
      <c r="D97" s="19">
        <f>C97/$C$112</f>
        <v/>
      </c>
      <c r="E97" s="20" t="inlineStr">
        <is>
          <t>X84D1F6</t>
        </is>
      </c>
    </row>
    <row r="98">
      <c r="A98" s="41" t="n">
        <v>730066</v>
      </c>
      <c r="B98" s="2" t="inlineStr">
        <is>
          <t>TATNEFT PJSC COMMON STOCK RUB</t>
        </is>
      </c>
      <c r="C98" s="18" t="n">
        <v>24600.82</v>
      </c>
      <c r="D98" s="19">
        <f>C98/$C$112</f>
        <v/>
      </c>
      <c r="E98" s="20" t="inlineStr">
        <is>
          <t>X84C973</t>
        </is>
      </c>
    </row>
    <row r="99">
      <c r="A99" s="41" t="n">
        <v>571359</v>
      </c>
      <c r="B99" s="2" t="inlineStr">
        <is>
          <t>TATNEFT PJSC PREFERENCE RUB 1</t>
        </is>
      </c>
      <c r="C99" s="18" t="n">
        <v>17049.82</v>
      </c>
      <c r="D99" s="19">
        <f>C99/$C$112</f>
        <v/>
      </c>
      <c r="E99" s="20" t="inlineStr">
        <is>
          <t>X8C6150</t>
        </is>
      </c>
    </row>
    <row r="100">
      <c r="A100" s="28" t="n"/>
      <c r="B100" s="27" t="inlineStr">
        <is>
          <t>Subtotal</t>
        </is>
      </c>
      <c r="C100" s="29">
        <f>+C99+C98</f>
        <v/>
      </c>
      <c r="D100" s="31">
        <f>C100/$C$115</f>
        <v/>
      </c>
      <c r="E100" s="38" t="n"/>
    </row>
    <row r="101">
      <c r="A101" s="41" t="n">
        <v>6156103</v>
      </c>
      <c r="B101" s="2" t="inlineStr">
        <is>
          <t>ROSTELECOM PJSC COMMON STOCK RUB</t>
        </is>
      </c>
      <c r="C101" s="18" t="n">
        <v>39238.28</v>
      </c>
      <c r="D101" s="19">
        <f>C101/$C$112</f>
        <v/>
      </c>
      <c r="E101" s="20" t="inlineStr">
        <is>
          <t>X84C978</t>
        </is>
      </c>
    </row>
    <row r="102">
      <c r="A102" s="41" t="n">
        <v>4246654</v>
      </c>
      <c r="B102" s="2" t="inlineStr">
        <is>
          <t>VTB BANK PJSC COMMON STOCK RUB 0.01</t>
        </is>
      </c>
      <c r="C102" s="18" t="n">
        <v>38168.62</v>
      </c>
      <c r="D102" s="19">
        <f>C102/$C$112</f>
        <v/>
      </c>
      <c r="E102" s="20" t="inlineStr">
        <is>
          <t>X8C6392</t>
        </is>
      </c>
    </row>
    <row r="103">
      <c r="A103" s="41" t="n">
        <v>297730</v>
      </c>
      <c r="B103" s="2" t="inlineStr">
        <is>
          <t>POLYUS PJSC COMMON STOCK RUB</t>
        </is>
      </c>
      <c r="C103" s="18" t="n">
        <v>29819.74</v>
      </c>
      <c r="D103" s="19">
        <f>C103/$C$112</f>
        <v/>
      </c>
      <c r="E103" s="20" t="inlineStr">
        <is>
          <t>X84D1F8</t>
        </is>
      </c>
    </row>
    <row r="104">
      <c r="A104" s="41" t="n">
        <v>432517</v>
      </c>
      <c r="B104" s="2" t="inlineStr">
        <is>
          <t>MD MEDICAL GROUP INVESTMENTS PLC GDR USD</t>
        </is>
      </c>
      <c r="C104" s="18" t="n">
        <v>18312.7</v>
      </c>
      <c r="D104" s="19">
        <f>C104/$C$112</f>
        <v/>
      </c>
      <c r="E104" s="20" t="inlineStr">
        <is>
          <t>X8C6397</t>
        </is>
      </c>
    </row>
    <row r="105">
      <c r="A105" s="41" t="n">
        <v>12313057</v>
      </c>
      <c r="B105" s="2" t="inlineStr">
        <is>
          <t>SISTEMA PJSFC COMMON STOCK RUB 0.09</t>
        </is>
      </c>
      <c r="C105" s="18" t="n">
        <v>13764.19</v>
      </c>
      <c r="D105" s="19">
        <f>C105/$C$112</f>
        <v/>
      </c>
      <c r="E105" s="20" t="inlineStr">
        <is>
          <t>X84D1F7</t>
        </is>
      </c>
    </row>
    <row r="106">
      <c r="A106" s="41" t="n">
        <v>577525</v>
      </c>
      <c r="B106" s="2" t="inlineStr">
        <is>
          <t>FIX PRICE GROUP LTD GDR</t>
        </is>
      </c>
      <c r="C106" s="18" t="n">
        <v>4032.49</v>
      </c>
      <c r="D106" s="19">
        <f>C106/$C$112</f>
        <v/>
      </c>
      <c r="E106" s="20" t="inlineStr">
        <is>
          <t>X84CF24</t>
        </is>
      </c>
    </row>
    <row r="107">
      <c r="A107" s="41" t="n">
        <v>75226</v>
      </c>
      <c r="B107" s="2" t="inlineStr">
        <is>
          <t>TCS GROUP HOLDING PLC GDR</t>
        </is>
      </c>
      <c r="C107" s="18" t="n">
        <v>1784.19</v>
      </c>
      <c r="D107" s="19">
        <f>C107/$C$112</f>
        <v/>
      </c>
      <c r="E107" s="20" t="inlineStr">
        <is>
          <t>X8C4FD3</t>
        </is>
      </c>
    </row>
    <row r="108">
      <c r="A108" s="41" t="n">
        <v>275182</v>
      </c>
      <c r="B108" s="2" t="inlineStr">
        <is>
          <t>X 5 RETAIL GROUP NV-REGS GDR</t>
        </is>
      </c>
      <c r="C108" s="18" t="n">
        <v>1086.22</v>
      </c>
      <c r="D108" s="19">
        <f>C108/$C$112</f>
        <v/>
      </c>
      <c r="E108" s="20" t="inlineStr">
        <is>
          <t>X8C4FD9</t>
        </is>
      </c>
    </row>
    <row r="109">
      <c r="A109" s="41" t="n">
        <v>1011.54</v>
      </c>
      <c r="B109" s="45" t="inlineStr">
        <is>
          <t>JPM USD LIQUIDITY LVNAV X (DIST.)</t>
        </is>
      </c>
      <c r="C109" s="18" t="n">
        <v>751.38</v>
      </c>
      <c r="D109" s="19">
        <f>C109/$C$112</f>
        <v/>
      </c>
      <c r="E109" s="20" t="inlineStr">
        <is>
          <t>7253766</t>
        </is>
      </c>
    </row>
    <row r="110">
      <c r="A110" s="41" t="n">
        <v>552780</v>
      </c>
      <c r="B110" s="2" t="inlineStr">
        <is>
          <t>SEVERSTAL PAO GDR USD</t>
        </is>
      </c>
      <c r="C110" s="18" t="n">
        <v>246.77</v>
      </c>
      <c r="D110" s="19">
        <f>C110/$C$112</f>
        <v/>
      </c>
      <c r="E110" s="20" t="inlineStr">
        <is>
          <t>X84C975</t>
        </is>
      </c>
    </row>
    <row r="111">
      <c r="A111" s="28" t="n"/>
      <c r="B111" s="2" t="n"/>
      <c r="C111" s="18" t="n"/>
      <c r="D111" s="19" t="n"/>
      <c r="E111" s="38" t="n"/>
    </row>
    <row r="112">
      <c r="A112" s="28" t="n"/>
      <c r="B112" s="21" t="inlineStr">
        <is>
          <t>Total portfolio</t>
        </is>
      </c>
      <c r="C112" s="39">
        <f>SUM(C12:C46)+SUM(C48:C68)+SUM(C70:C73)+SUM(C75:C82)+SUM(C84:C93)+SUM(C95:C99)+SUM(C101:C110)</f>
        <v/>
      </c>
      <c r="D112" s="19">
        <f>C112/$C$115</f>
        <v/>
      </c>
      <c r="E112" s="20" t="n"/>
    </row>
    <row r="113">
      <c r="A113" s="28" t="n"/>
      <c r="B113" s="21" t="inlineStr">
        <is>
          <t>Net Current Assets</t>
        </is>
      </c>
      <c r="C113" s="39" t="n">
        <v>906361.0699999999</v>
      </c>
      <c r="D113" s="19">
        <f>C113/$C$115</f>
        <v/>
      </c>
      <c r="E113" s="20" t="n"/>
    </row>
    <row r="114">
      <c r="A114" s="28" t="n"/>
      <c r="B114" s="21" t="n"/>
      <c r="C114" s="39" t="n"/>
      <c r="D114" s="32" t="n"/>
      <c r="E114" s="20" t="n"/>
    </row>
    <row r="115">
      <c r="A115" s="17" t="n"/>
      <c r="B115" s="21" t="inlineStr">
        <is>
          <t>Total Assets</t>
        </is>
      </c>
      <c r="C115" s="22">
        <f>C112+C113</f>
        <v/>
      </c>
      <c r="D115" s="19">
        <f>C115/$C$115</f>
        <v/>
      </c>
      <c r="E115" s="3" t="n"/>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conditionalFormatting sqref="B12:B111">
    <cfRule type="containsText" priority="1" operator="containsText" dxfId="0" text="LIQUIDITY">
      <formula>NOT(ISERROR(SEARCH("LIQUIDITY",B12)))</formula>
    </cfRule>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124"/>
  <sheetViews>
    <sheetView topLeftCell="A87" workbookViewId="0">
      <selection activeCell="B118" sqref="B118"/>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August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AL RAJHI BANK COMMON STOCK SAR 10</t>
        </is>
      </c>
      <c r="C12" s="18" t="n">
        <v>1005864.66</v>
      </c>
      <c r="D12" s="19">
        <f>C12/$C$117</f>
        <v/>
      </c>
      <c r="E12" s="20" t="inlineStr">
        <is>
          <t>B12LZH9</t>
        </is>
      </c>
    </row>
    <row r="13">
      <c r="A13" s="41" t="n">
        <v>33759</v>
      </c>
      <c r="B13" s="2" t="inlineStr">
        <is>
          <t>GOLD FIELDS LTD COMMON STOCK ZAR 50</t>
        </is>
      </c>
      <c r="C13" s="18" t="n">
        <v>818670.33</v>
      </c>
      <c r="D13" s="19">
        <f>C13/$C$117</f>
        <v/>
      </c>
      <c r="E13" s="20" t="inlineStr">
        <is>
          <t>6280215</t>
        </is>
      </c>
    </row>
    <row r="14">
      <c r="A14" s="41" t="n">
        <v>173053</v>
      </c>
      <c r="B14" s="2" t="inlineStr">
        <is>
          <t>QATAR NATIONAL BANK QPSC COMMON STOCK QAR 1</t>
        </is>
      </c>
      <c r="C14" s="18" t="n">
        <v>668406.4399999999</v>
      </c>
      <c r="D14" s="19">
        <f>C14/$C$117</f>
        <v/>
      </c>
      <c r="E14" s="20" t="inlineStr">
        <is>
          <t>6148197</t>
        </is>
      </c>
    </row>
    <row r="15">
      <c r="A15" s="41" t="n">
        <v>91310</v>
      </c>
      <c r="B15" s="2" t="inlineStr">
        <is>
          <t>THE SAUDI NATIONAL BANK</t>
        </is>
      </c>
      <c r="C15" s="18" t="n">
        <v>627176.4</v>
      </c>
      <c r="D15" s="19">
        <f>C15/$C$117</f>
        <v/>
      </c>
      <c r="E15" s="20" t="inlineStr">
        <is>
          <t>BSHYYN1</t>
        </is>
      </c>
    </row>
    <row r="16">
      <c r="A16" s="41" t="n">
        <v>125683</v>
      </c>
      <c r="B16" s="2" t="inlineStr">
        <is>
          <t>SASOL LTD COMMON STOCK ZAR 0</t>
        </is>
      </c>
      <c r="C16" s="18" t="n">
        <v>625861.37</v>
      </c>
      <c r="D16" s="19">
        <f>C16/$C$117</f>
        <v/>
      </c>
      <c r="E16" s="20" t="inlineStr">
        <is>
          <t>6777450</t>
        </is>
      </c>
    </row>
    <row r="17">
      <c r="A17" s="41" t="n">
        <v>56252</v>
      </c>
      <c r="B17" s="2" t="inlineStr">
        <is>
          <t>STANDARD BANK GROUP LTD COMMON STOCK ZAR 10</t>
        </is>
      </c>
      <c r="C17" s="18" t="n">
        <v>585553.86</v>
      </c>
      <c r="D17" s="19">
        <f>C17/$C$117</f>
        <v/>
      </c>
      <c r="E17" s="20" t="inlineStr">
        <is>
          <t>B030GJ7</t>
        </is>
      </c>
    </row>
    <row r="18">
      <c r="A18" s="41" t="n">
        <v>201080</v>
      </c>
      <c r="B18" s="2" t="inlineStr">
        <is>
          <t>EMAAR PROPERTIES PJSC COMMON STOCK AED 1</t>
        </is>
      </c>
      <c r="C18" s="18" t="n">
        <v>583497.52</v>
      </c>
      <c r="D18" s="19">
        <f>C18/$C$117</f>
        <v/>
      </c>
      <c r="E18" s="20" t="inlineStr">
        <is>
          <t>B01RM25</t>
        </is>
      </c>
    </row>
    <row r="19">
      <c r="A19" s="41" t="n">
        <v>2386</v>
      </c>
      <c r="B19" s="2" t="inlineStr">
        <is>
          <t>NASPERS LTD COMMON STOCK ZAR 2</t>
        </is>
      </c>
      <c r="C19" s="18" t="n">
        <v>579700.25</v>
      </c>
      <c r="D19" s="19">
        <f>C19/$C$117</f>
        <v/>
      </c>
      <c r="E19" s="20" t="inlineStr">
        <is>
          <t>BN0VX82</t>
        </is>
      </c>
    </row>
    <row r="20">
      <c r="A20" s="41" t="n">
        <v>7890</v>
      </c>
      <c r="B20" s="2" t="inlineStr">
        <is>
          <t>JSC KASPI.KZ GDR-REG S</t>
        </is>
      </c>
      <c r="C20" s="18" t="n">
        <v>548016.4300000001</v>
      </c>
      <c r="D20" s="19">
        <f>C20/$C$117</f>
        <v/>
      </c>
      <c r="E20" s="20" t="inlineStr">
        <is>
          <t>BJY21K1</t>
        </is>
      </c>
    </row>
    <row r="21">
      <c r="A21" s="41" t="n">
        <v>10827</v>
      </c>
      <c r="B21" s="2" t="inlineStr">
        <is>
          <t>METLEN ENERGY &amp; METALS PLC COMMON STOCK EUR 11</t>
        </is>
      </c>
      <c r="C21" s="18" t="n">
        <v>512998.45</v>
      </c>
      <c r="D21" s="19">
        <f>C21/$C$117</f>
        <v/>
      </c>
      <c r="E21" s="20" t="inlineStr">
        <is>
          <t>BTQGS77</t>
        </is>
      </c>
    </row>
    <row r="22">
      <c r="A22" s="41" t="n">
        <v>117334</v>
      </c>
      <c r="B22" s="2" t="inlineStr">
        <is>
          <t>ABU DHABI ISLAMIC BANK PJSC COMMON STOCK AED 1</t>
        </is>
      </c>
      <c r="C22" s="18" t="n">
        <v>504575.24</v>
      </c>
      <c r="D22" s="19">
        <f>C22/$C$117</f>
        <v/>
      </c>
      <c r="E22" s="20" t="inlineStr">
        <is>
          <t>6001728</t>
        </is>
      </c>
    </row>
    <row r="23">
      <c r="A23" s="41" t="n">
        <v>161352</v>
      </c>
      <c r="B23" s="2" t="inlineStr">
        <is>
          <t>FIRSTRAND LTD COMMON STOCK ZAR 1</t>
        </is>
      </c>
      <c r="C23" s="18" t="n">
        <v>502243.52</v>
      </c>
      <c r="D23" s="19">
        <f>C23/$C$117</f>
        <v/>
      </c>
      <c r="E23" s="20" t="inlineStr">
        <is>
          <t>6606996</t>
        </is>
      </c>
    </row>
    <row r="24">
      <c r="A24" s="41" t="n">
        <v>187147</v>
      </c>
      <c r="B24" s="2" t="inlineStr">
        <is>
          <t>NATIONAL BANK OF KUWAIT SAKP COMMON STOCK KWD 100</t>
        </is>
      </c>
      <c r="C24" s="18" t="n">
        <v>463017.13</v>
      </c>
      <c r="D24" s="19">
        <f>C24/$C$117</f>
        <v/>
      </c>
      <c r="E24" s="20" t="inlineStr">
        <is>
          <t>6889526</t>
        </is>
      </c>
    </row>
    <row r="25">
      <c r="A25" s="41" t="n">
        <v>65805</v>
      </c>
      <c r="B25" s="2" t="inlineStr">
        <is>
          <t>OPTIMA BANK SA COMMON STOCK EUR 3.45</t>
        </is>
      </c>
      <c r="C25" s="18" t="n">
        <v>445256.14</v>
      </c>
      <c r="D25" s="19">
        <f>C25/$C$117</f>
        <v/>
      </c>
      <c r="E25" s="20" t="inlineStr">
        <is>
          <t>BL571C1</t>
        </is>
      </c>
    </row>
    <row r="26">
      <c r="A26" s="41" t="n">
        <v>221457</v>
      </c>
      <c r="B26" s="2" t="inlineStr">
        <is>
          <t>ALDAR PROPERTIES PJSC COMMON STOCK AED 1</t>
        </is>
      </c>
      <c r="C26" s="18" t="n">
        <v>429311.11</v>
      </c>
      <c r="D26" s="19">
        <f>C26/$C$117</f>
        <v/>
      </c>
      <c r="E26" s="20" t="inlineStr">
        <is>
          <t>B0LX3Y2</t>
        </is>
      </c>
    </row>
    <row r="27">
      <c r="A27" s="41" t="n">
        <v>29624</v>
      </c>
      <c r="B27" s="2" t="inlineStr">
        <is>
          <t>POWSZECHNA KASA OSZCZEDNOSCI BANK POLSKI SA COMMON STOCK PLN 1</t>
        </is>
      </c>
      <c r="C27" s="18" t="n">
        <v>427112.04</v>
      </c>
      <c r="D27" s="19">
        <f>C27/$C$117</f>
        <v/>
      </c>
      <c r="E27" s="20" t="inlineStr">
        <is>
          <t>B03NGS5</t>
        </is>
      </c>
    </row>
    <row r="28">
      <c r="A28" s="41" t="n">
        <v>646</v>
      </c>
      <c r="B28" s="2" t="inlineStr">
        <is>
          <t>BENEFIT SYSTEMS SA COMMON STOCK PLN 1</t>
        </is>
      </c>
      <c r="C28" s="18" t="n">
        <v>426459.71</v>
      </c>
      <c r="D28" s="19">
        <f>C28/$C$117</f>
        <v/>
      </c>
      <c r="E28" s="20" t="inlineStr">
        <is>
          <t>B4XY9X2</t>
        </is>
      </c>
    </row>
    <row r="29">
      <c r="A29" s="41" t="n">
        <v>15105</v>
      </c>
      <c r="B29" s="2" t="inlineStr">
        <is>
          <t>NOVA LJUBLJANSKA BANKA DD GDR EUR</t>
        </is>
      </c>
      <c r="C29" s="18" t="n">
        <v>420073.96</v>
      </c>
      <c r="D29" s="19">
        <f>C29/$C$117</f>
        <v/>
      </c>
      <c r="E29" s="20" t="inlineStr">
        <is>
          <t>BGRPD22</t>
        </is>
      </c>
    </row>
    <row r="30">
      <c r="A30" s="41" t="n">
        <v>11905</v>
      </c>
      <c r="B30" s="2" t="inlineStr">
        <is>
          <t>NAC KAZATOMPROM JSC GDR USD</t>
        </is>
      </c>
      <c r="C30" s="18" t="n">
        <v>409301.84</v>
      </c>
      <c r="D30" s="19">
        <f>C30/$C$117</f>
        <v/>
      </c>
      <c r="E30" s="20" t="inlineStr">
        <is>
          <t>BGXQL36</t>
        </is>
      </c>
    </row>
    <row r="31">
      <c r="A31" s="41" t="n">
        <v>208499</v>
      </c>
      <c r="B31" s="2" t="inlineStr">
        <is>
          <t>DUBAI ISLAMIC BANK PJSC COMMON STOCK AED 1</t>
        </is>
      </c>
      <c r="C31" s="18" t="n">
        <v>406291.84</v>
      </c>
      <c r="D31" s="19">
        <f>C31/$C$117</f>
        <v/>
      </c>
      <c r="E31" s="20" t="inlineStr">
        <is>
          <t>6283452</t>
        </is>
      </c>
    </row>
    <row r="32">
      <c r="A32" s="41" t="n">
        <v>18974</v>
      </c>
      <c r="B32" s="2" t="inlineStr">
        <is>
          <t>HALYK SAVINGS BANK OF KAZAKHSTAN JSC GDR USD</t>
        </is>
      </c>
      <c r="C32" s="18" t="n">
        <v>368652.16</v>
      </c>
      <c r="D32" s="19">
        <f>C32/$C$117</f>
        <v/>
      </c>
      <c r="E32" s="20" t="inlineStr">
        <is>
          <t>B1KDG41</t>
        </is>
      </c>
    </row>
    <row r="33">
      <c r="A33" s="41" t="n">
        <v>35906</v>
      </c>
      <c r="B33" s="2" t="inlineStr">
        <is>
          <t>NATIONAL BANK OF GREECE SA COMMON STOCK EUR 1</t>
        </is>
      </c>
      <c r="C33" s="18" t="n">
        <v>368003.34</v>
      </c>
      <c r="D33" s="19">
        <f>C33/$C$117</f>
        <v/>
      </c>
      <c r="E33" s="20" t="inlineStr">
        <is>
          <t>BG087C6</t>
        </is>
      </c>
    </row>
    <row r="34">
      <c r="A34" s="41" t="n">
        <v>288479</v>
      </c>
      <c r="B34" s="2" t="inlineStr">
        <is>
          <t>AKBANK TAS COMMON STOCK TRY 1</t>
        </is>
      </c>
      <c r="C34" s="18" t="n">
        <v>354140.5</v>
      </c>
      <c r="D34" s="19">
        <f>C34/$C$117</f>
        <v/>
      </c>
      <c r="E34" s="20" t="inlineStr">
        <is>
          <t>B03MN70</t>
        </is>
      </c>
    </row>
    <row r="35">
      <c r="A35" s="41" t="n">
        <v>35872</v>
      </c>
      <c r="B35" s="2" t="inlineStr">
        <is>
          <t>HARMONY GOLD MINING CO LTD COMMON STOCK ZAR 50</t>
        </is>
      </c>
      <c r="C35" s="18" t="n">
        <v>352220.29</v>
      </c>
      <c r="D35" s="19">
        <f>C35/$C$117</f>
        <v/>
      </c>
      <c r="E35" s="20" t="inlineStr">
        <is>
          <t>6410562</t>
        </is>
      </c>
    </row>
    <row r="36">
      <c r="A36" s="41" t="n">
        <v>57145</v>
      </c>
      <c r="B36" s="2" t="inlineStr">
        <is>
          <t>PIRAEUS FINANCIAL HOLDINGS SA COMMON STOCK EUR 0.93</t>
        </is>
      </c>
      <c r="C36" s="18" t="n">
        <v>327250.03</v>
      </c>
      <c r="D36" s="19">
        <f>C36/$C$117</f>
        <v/>
      </c>
      <c r="E36" s="20" t="inlineStr">
        <is>
          <t>BNC0DB0</t>
        </is>
      </c>
    </row>
    <row r="37">
      <c r="A37" s="41" t="n">
        <v>118590</v>
      </c>
      <c r="B37" s="2" t="inlineStr">
        <is>
          <t>EUROBANK ERGASIAS SERVICES AND HOLDINGS SA COMMON STOCK EUR 0.22</t>
        </is>
      </c>
      <c r="C37" s="18" t="n">
        <v>322609.92</v>
      </c>
      <c r="D37" s="19">
        <f>C37/$C$117</f>
        <v/>
      </c>
      <c r="E37" s="20" t="inlineStr">
        <is>
          <t>BYZ43T4</t>
        </is>
      </c>
    </row>
    <row r="38">
      <c r="A38" s="41" t="n">
        <v>108243</v>
      </c>
      <c r="B38" s="2" t="inlineStr">
        <is>
          <t>ALPHA BANK SA COMMON STOCK EUR 0.3</t>
        </is>
      </c>
      <c r="C38" s="18" t="n">
        <v>317625.24</v>
      </c>
      <c r="D38" s="19">
        <f>C38/$C$117</f>
        <v/>
      </c>
      <c r="E38" s="20" t="inlineStr">
        <is>
          <t>BTJZ707</t>
        </is>
      </c>
    </row>
    <row r="39">
      <c r="A39" s="41" t="n">
        <v>24898</v>
      </c>
      <c r="B39" s="45" t="inlineStr">
        <is>
          <t>SARANTIS SA EUR1.53</t>
        </is>
      </c>
      <c r="C39" s="18" t="n">
        <v>314500.96</v>
      </c>
      <c r="D39" s="19">
        <f>C39/$C$117</f>
        <v/>
      </c>
      <c r="E39" s="20" t="inlineStr">
        <is>
          <t>7124958</t>
        </is>
      </c>
    </row>
    <row r="40">
      <c r="A40" s="41" t="n">
        <v>56454</v>
      </c>
      <c r="B40" s="2" t="inlineStr">
        <is>
          <t>MONETA MONEY BANK AS COMMON STOCK CZK 20</t>
        </is>
      </c>
      <c r="C40" s="18" t="n">
        <v>308073.56</v>
      </c>
      <c r="D40" s="19">
        <f>C40/$C$117</f>
        <v/>
      </c>
      <c r="E40" s="20" t="inlineStr">
        <is>
          <t>BD3CQ16</t>
        </is>
      </c>
    </row>
    <row r="41">
      <c r="A41" s="41" t="n">
        <v>43960</v>
      </c>
      <c r="B41" s="2" t="inlineStr">
        <is>
          <t>BANK OF CYPRUS HOLDINGS PLC COMMON STOCK EUR 0.1</t>
        </is>
      </c>
      <c r="C41" s="18" t="n">
        <v>293257.01</v>
      </c>
      <c r="D41" s="19">
        <f>C41/$C$117</f>
        <v/>
      </c>
      <c r="E41" s="20" t="inlineStr">
        <is>
          <t>BN2BZT5</t>
        </is>
      </c>
    </row>
    <row r="42">
      <c r="A42" s="41" t="n">
        <v>362649</v>
      </c>
      <c r="B42" s="2" t="inlineStr">
        <is>
          <t>LUKOIL PJSC COMMON STOCK RUB 0.025 RUB</t>
        </is>
      </c>
      <c r="C42" s="18" t="n">
        <v>172052.62</v>
      </c>
      <c r="D42" s="19">
        <f>C42/$C$117</f>
        <v/>
      </c>
      <c r="E42" s="20" t="inlineStr">
        <is>
          <t>X84C974</t>
        </is>
      </c>
    </row>
    <row r="43">
      <c r="A43" s="41" t="n">
        <v>262047</v>
      </c>
      <c r="B43" s="2" t="inlineStr">
        <is>
          <t>LUKOIL PJSC COMMON STOCK RUB</t>
        </is>
      </c>
      <c r="C43" s="18" t="n">
        <v>120950.64</v>
      </c>
      <c r="D43" s="19">
        <f>C43/$C$117</f>
        <v/>
      </c>
      <c r="E43" s="20" t="inlineStr">
        <is>
          <t>X84D1F5</t>
        </is>
      </c>
    </row>
    <row r="44">
      <c r="A44" s="28" t="n"/>
      <c r="B44" s="27" t="inlineStr">
        <is>
          <t>Subtotal</t>
        </is>
      </c>
      <c r="C44" s="29">
        <f>+C43+C42</f>
        <v/>
      </c>
      <c r="D44" s="31">
        <f>C44/$C$120</f>
        <v/>
      </c>
      <c r="E44" s="20" t="n"/>
    </row>
    <row r="45">
      <c r="A45" s="41" t="n">
        <v>260668</v>
      </c>
      <c r="B45" s="2" t="inlineStr">
        <is>
          <t>ADNOC LOGISTICS &amp; SERVICES COMMON STOCK AED 1.983</t>
        </is>
      </c>
      <c r="C45" s="18" t="n">
        <v>285230</v>
      </c>
      <c r="D45" s="19">
        <f>C45/$C$117</f>
        <v/>
      </c>
      <c r="E45" s="20" t="inlineStr">
        <is>
          <t>BRBN103</t>
        </is>
      </c>
    </row>
    <row r="46">
      <c r="A46" s="41" t="n">
        <v>23041</v>
      </c>
      <c r="B46" s="2" t="inlineStr">
        <is>
          <t>POWSZECHNY ZAKLAD UBEZPIECZEN SA COMMON STOCK PLN 0.1</t>
        </is>
      </c>
      <c r="C46" s="18" t="n">
        <v>283432.28</v>
      </c>
      <c r="D46" s="19">
        <f>C46/$C$117</f>
        <v/>
      </c>
      <c r="E46" s="20" t="inlineStr">
        <is>
          <t>B63DG21</t>
        </is>
      </c>
    </row>
    <row r="47">
      <c r="A47" s="41" t="n">
        <v>54728</v>
      </c>
      <c r="B47" s="45" t="inlineStr">
        <is>
          <t>RIYAD BANK COMMON STOCK SAR 10</t>
        </is>
      </c>
      <c r="C47" s="18" t="n">
        <v>280257.25</v>
      </c>
      <c r="D47" s="19">
        <f>C47/$C$117</f>
        <v/>
      </c>
      <c r="E47" s="20" t="inlineStr">
        <is>
          <t>B12LZW4</t>
        </is>
      </c>
    </row>
    <row r="48">
      <c r="A48" s="41" t="n">
        <v>35367</v>
      </c>
      <c r="B48" s="2" t="inlineStr">
        <is>
          <t>ABSA GROUP LTD</t>
        </is>
      </c>
      <c r="C48" s="18" t="n">
        <v>279324.42</v>
      </c>
      <c r="D48" s="19">
        <f>C48/$C$117</f>
        <v/>
      </c>
      <c r="E48" s="20" t="inlineStr">
        <is>
          <t>BFX05H3</t>
        </is>
      </c>
    </row>
    <row r="49">
      <c r="A49" s="41" t="n">
        <v>1487796</v>
      </c>
      <c r="B49" s="2" t="inlineStr">
        <is>
          <t>TURKIYE SIGORTA AS COMMON STOCK TRY 1</t>
        </is>
      </c>
      <c r="C49" s="18" t="n">
        <v>266004.21</v>
      </c>
      <c r="D49" s="19">
        <f>C49/$C$117</f>
        <v/>
      </c>
      <c r="E49" s="20" t="inlineStr">
        <is>
          <t>B03MTD8</t>
        </is>
      </c>
    </row>
    <row r="50">
      <c r="A50" s="41" t="n">
        <v>155262</v>
      </c>
      <c r="B50" s="2" t="inlineStr">
        <is>
          <t>TURKCELL ILETISIM HIZMET AS</t>
        </is>
      </c>
      <c r="C50" s="18" t="n">
        <v>264608.1</v>
      </c>
      <c r="D50" s="19">
        <f>C50/$C$117</f>
        <v/>
      </c>
      <c r="E50" s="20" t="inlineStr">
        <is>
          <t>B03MYN3</t>
        </is>
      </c>
    </row>
    <row r="51">
      <c r="A51" s="41" t="n">
        <v>89314</v>
      </c>
      <c r="B51" s="2" t="inlineStr">
        <is>
          <t>ADES HOLDING CO COMMON STOCK SAR 1</t>
        </is>
      </c>
      <c r="C51" s="18" t="n">
        <v>263216.27</v>
      </c>
      <c r="D51" s="19">
        <f>C51/$C$117</f>
        <v/>
      </c>
      <c r="E51" s="20" t="inlineStr">
        <is>
          <t>BR56KM3</t>
        </is>
      </c>
    </row>
    <row r="52">
      <c r="A52" s="41" t="n">
        <v>23805</v>
      </c>
      <c r="B52" s="2" t="inlineStr">
        <is>
          <t>SHOPRITE HOLDINGS LTD COMMON STOCK ZAR 113.4</t>
        </is>
      </c>
      <c r="C52" s="18" t="n">
        <v>261828.56</v>
      </c>
      <c r="D52" s="19">
        <f>C52/$C$117</f>
        <v/>
      </c>
      <c r="E52" s="20" t="inlineStr">
        <is>
          <t>6801575</t>
        </is>
      </c>
    </row>
    <row r="53">
      <c r="A53" s="41" t="n">
        <v>43441</v>
      </c>
      <c r="B53" s="2" t="inlineStr">
        <is>
          <t>TURK HAVA YOLLARI AO COMMON STOCK TRY 1</t>
        </is>
      </c>
      <c r="C53" s="18" t="n">
        <v>261564.7</v>
      </c>
      <c r="D53" s="19">
        <f>C53/$C$117</f>
        <v/>
      </c>
      <c r="E53" s="20" t="inlineStr">
        <is>
          <t>B03MYK0</t>
        </is>
      </c>
    </row>
    <row r="54">
      <c r="A54" s="41" t="n">
        <v>19168</v>
      </c>
      <c r="B54" s="2" t="inlineStr">
        <is>
          <t>KUMBA IRON ORE LTD COMMON STOCK ZAR 0.01</t>
        </is>
      </c>
      <c r="C54" s="18" t="n">
        <v>259393.91</v>
      </c>
      <c r="D54" s="19">
        <f>C54/$C$117</f>
        <v/>
      </c>
      <c r="E54" s="20" t="inlineStr">
        <is>
          <t>B1G4262</t>
        </is>
      </c>
    </row>
    <row r="55">
      <c r="A55" s="41" t="n">
        <v>127144</v>
      </c>
      <c r="B55" s="2" t="inlineStr">
        <is>
          <t>FORD OTOMOTIV SANAYI AS COMMON STOCK TRY 1</t>
        </is>
      </c>
      <c r="C55" s="18" t="n">
        <v>255451.1</v>
      </c>
      <c r="D55" s="19">
        <f>C55/$C$117</f>
        <v/>
      </c>
      <c r="E55" s="20" t="inlineStr">
        <is>
          <t>B03MSR5</t>
        </is>
      </c>
    </row>
    <row r="56">
      <c r="A56" s="41" t="n">
        <v>85774</v>
      </c>
      <c r="B56" s="2" t="inlineStr">
        <is>
          <t>EMAAR DEVELOPMENT PJSC COMMON STOCK AED 1</t>
        </is>
      </c>
      <c r="C56" s="18" t="n">
        <v>254950.18</v>
      </c>
      <c r="D56" s="19">
        <f>C56/$C$117</f>
        <v/>
      </c>
      <c r="E56" s="20" t="inlineStr">
        <is>
          <t>BDG1977</t>
        </is>
      </c>
    </row>
    <row r="57">
      <c r="A57" s="41" t="n">
        <v>118565</v>
      </c>
      <c r="B57" s="2" t="inlineStr">
        <is>
          <t>EMIRATES INTEGRATED TELECOMMUNICATIONS CO PJSC COMMON STOCK AED 1</t>
        </is>
      </c>
      <c r="C57" s="18" t="n">
        <v>249678.09</v>
      </c>
      <c r="D57" s="19">
        <f>C57/$C$117</f>
        <v/>
      </c>
      <c r="E57" s="20" t="inlineStr">
        <is>
          <t>B13TMN7</t>
        </is>
      </c>
    </row>
    <row r="58">
      <c r="A58" s="41" t="n">
        <v>71</v>
      </c>
      <c r="B58" s="2" t="inlineStr">
        <is>
          <t>LPP SA COMMON STOCK PLN 2</t>
        </is>
      </c>
      <c r="C58" s="18" t="n">
        <v>248776.63</v>
      </c>
      <c r="D58" s="19">
        <f>C58/$C$117</f>
        <v/>
      </c>
      <c r="E58" s="20" t="inlineStr">
        <is>
          <t>7127979</t>
        </is>
      </c>
    </row>
    <row r="59">
      <c r="A59" s="41" t="n">
        <v>1238</v>
      </c>
      <c r="B59" s="2" t="inlineStr">
        <is>
          <t>GRUPA KETY SA COMMON STOCK PLN 2.5</t>
        </is>
      </c>
      <c r="C59" s="18" t="n">
        <v>231853.52</v>
      </c>
      <c r="D59" s="19">
        <f>C59/$C$117</f>
        <v/>
      </c>
      <c r="E59" s="20" t="inlineStr">
        <is>
          <t>5216385</t>
        </is>
      </c>
    </row>
    <row r="60">
      <c r="A60" s="41" t="n">
        <v>23094</v>
      </c>
      <c r="B60" s="2" t="inlineStr">
        <is>
          <t>BIDVEST GROUP LTD COMMON STOCK ZAR 5</t>
        </is>
      </c>
      <c r="C60" s="18" t="n">
        <v>228861.59</v>
      </c>
      <c r="D60" s="19">
        <f>C60/$C$117</f>
        <v/>
      </c>
      <c r="E60" s="20" t="inlineStr">
        <is>
          <t>6100089</t>
        </is>
      </c>
    </row>
    <row r="61">
      <c r="A61" s="41" t="n">
        <v>55815</v>
      </c>
      <c r="B61" s="2" t="inlineStr">
        <is>
          <t>ARABIAN CENTRES CO COMMON STOCK SAR 10</t>
        </is>
      </c>
      <c r="C61" s="18" t="n">
        <v>224607.21</v>
      </c>
      <c r="D61" s="19">
        <f>C61/$C$117</f>
        <v/>
      </c>
      <c r="E61" s="20" t="inlineStr">
        <is>
          <t>BKBF694</t>
        </is>
      </c>
    </row>
    <row r="62">
      <c r="A62" s="41" t="n">
        <v>182204</v>
      </c>
      <c r="B62" s="2" t="inlineStr">
        <is>
          <t>PARKIN CO PJSC COMMON STOCK AED 0.02</t>
        </is>
      </c>
      <c r="C62" s="18" t="n">
        <v>222137.01</v>
      </c>
      <c r="D62" s="19">
        <f>C62/$C$117</f>
        <v/>
      </c>
      <c r="E62" s="20" t="inlineStr">
        <is>
          <t>BRRGQF6</t>
        </is>
      </c>
    </row>
    <row r="63">
      <c r="A63" s="41" t="n">
        <v>6433</v>
      </c>
      <c r="B63" s="2" t="inlineStr">
        <is>
          <t>VALTERRA PLATINUM LTD COMMON STOCK ZAR 10</t>
        </is>
      </c>
      <c r="C63" s="18" t="n">
        <v>217423.62</v>
      </c>
      <c r="D63" s="19">
        <f>C63/$C$117</f>
        <v/>
      </c>
      <c r="E63" s="20" t="inlineStr">
        <is>
          <t>6761000</t>
        </is>
      </c>
    </row>
    <row r="64">
      <c r="A64" s="41" t="n">
        <v>8660</v>
      </c>
      <c r="B64" s="2" t="inlineStr">
        <is>
          <t>RAIFFEISEN BANK INTERNATIONAL AG COMMON STOCK EUR 0</t>
        </is>
      </c>
      <c r="C64" s="18" t="n">
        <v>213526.99</v>
      </c>
      <c r="D64" s="19">
        <f>C64/$C$117</f>
        <v/>
      </c>
      <c r="E64" s="20" t="inlineStr">
        <is>
          <t>B0704T9</t>
        </is>
      </c>
    </row>
    <row r="65">
      <c r="A65" s="41" t="n">
        <v>8860909</v>
      </c>
      <c r="B65" s="2" t="inlineStr">
        <is>
          <t>GAZPROM PJSC COMMON STOCK RUB</t>
        </is>
      </c>
      <c r="C65" s="18" t="n">
        <v>188877.95</v>
      </c>
      <c r="D65" s="19">
        <f>C65/$C$117</f>
        <v/>
      </c>
      <c r="E65" s="20" t="inlineStr">
        <is>
          <t>X8C529A</t>
        </is>
      </c>
    </row>
    <row r="66">
      <c r="A66" s="41" t="n">
        <v>5365084</v>
      </c>
      <c r="B66" s="2" t="inlineStr">
        <is>
          <t>GAZPROM PJSC ADR</t>
        </is>
      </c>
      <c r="C66" s="18" t="n">
        <v>23087.67</v>
      </c>
      <c r="D66" s="19">
        <f>C66/$C$117</f>
        <v/>
      </c>
      <c r="E66" s="20" t="inlineStr">
        <is>
          <t>X84C976</t>
        </is>
      </c>
    </row>
    <row r="67">
      <c r="A67" s="28" t="n"/>
      <c r="B67" s="27" t="inlineStr">
        <is>
          <t>Subtotal</t>
        </is>
      </c>
      <c r="C67" s="29">
        <f>+C66+C65</f>
        <v/>
      </c>
      <c r="D67" s="31">
        <f>C67/$C$120</f>
        <v/>
      </c>
      <c r="E67" s="38" t="n"/>
    </row>
    <row r="68">
      <c r="A68" s="41" t="n">
        <v>1247</v>
      </c>
      <c r="B68" s="2" t="inlineStr">
        <is>
          <t>ELM CO COMMON STOCK SAR 10</t>
        </is>
      </c>
      <c r="C68" s="18" t="n">
        <v>210932.34</v>
      </c>
      <c r="D68" s="19">
        <f>C68/$C$117</f>
        <v/>
      </c>
      <c r="E68" s="20" t="inlineStr">
        <is>
          <t>BNYDSH8</t>
        </is>
      </c>
    </row>
    <row r="69">
      <c r="A69" s="41" t="n">
        <v>32435</v>
      </c>
      <c r="B69" s="2" t="inlineStr">
        <is>
          <t>MOL HUNGARIAN OIL &amp; GAS PLC COMMON STOCK HUF 125</t>
        </is>
      </c>
      <c r="C69" s="18" t="n">
        <v>206903.44</v>
      </c>
      <c r="D69" s="19">
        <f>C69/$C$117</f>
        <v/>
      </c>
      <c r="E69" s="20" t="inlineStr">
        <is>
          <t>BD5ZXH8</t>
        </is>
      </c>
    </row>
    <row r="70">
      <c r="A70" s="41" t="n">
        <v>145136</v>
      </c>
      <c r="B70" s="2" t="inlineStr">
        <is>
          <t>SIBANYE STILLWATER LTD COMMON STOCK ZAR</t>
        </is>
      </c>
      <c r="C70" s="18" t="n">
        <v>201871.72</v>
      </c>
      <c r="D70" s="19" t="n"/>
      <c r="E70" s="20" t="inlineStr">
        <is>
          <t>BL0L913</t>
        </is>
      </c>
    </row>
    <row r="71">
      <c r="A71" s="41" t="n">
        <v>14455036</v>
      </c>
      <c r="B71" s="2" t="inlineStr">
        <is>
          <t>SBERBANK OF RUSSIA PJSC PREFERENCE RUB 3</t>
        </is>
      </c>
      <c r="C71" s="18" t="n">
        <v>169972.95</v>
      </c>
      <c r="D71" s="19">
        <f>C71/$C$117</f>
        <v/>
      </c>
      <c r="E71" s="20" t="inlineStr">
        <is>
          <t>X8C6155</t>
        </is>
      </c>
    </row>
    <row r="72">
      <c r="A72" s="41" t="n">
        <v>2355925</v>
      </c>
      <c r="B72" s="2" t="inlineStr">
        <is>
          <t>SBERBANK OF RUSSIA PJSC</t>
        </is>
      </c>
      <c r="C72" s="18" t="n">
        <v>27502.48</v>
      </c>
      <c r="D72" s="19">
        <f>C72/$C$117</f>
        <v/>
      </c>
      <c r="E72" s="20" t="inlineStr">
        <is>
          <t>X8C6398</t>
        </is>
      </c>
    </row>
    <row r="73">
      <c r="A73" s="41" t="n"/>
      <c r="B73" s="27" t="inlineStr">
        <is>
          <t>Subtotal</t>
        </is>
      </c>
      <c r="C73" s="29">
        <f>+C72+C71</f>
        <v/>
      </c>
      <c r="D73" s="31">
        <f>C73/$C$120</f>
        <v/>
      </c>
      <c r="E73" s="38" t="n"/>
    </row>
    <row r="74">
      <c r="A74" s="41" t="n">
        <v>21418</v>
      </c>
      <c r="B74" s="2" t="inlineStr">
        <is>
          <t>ATHENS INTERNATIONAL AIRPORT SA COMMON STOCK EUR 1</t>
        </is>
      </c>
      <c r="C74" s="18" t="n">
        <v>197062.24</v>
      </c>
      <c r="D74" s="19">
        <f>C74/$C$117</f>
        <v/>
      </c>
      <c r="E74" s="20" t="inlineStr">
        <is>
          <t>BPYS8N3</t>
        </is>
      </c>
    </row>
    <row r="75">
      <c r="A75" s="41" t="n">
        <v>41881</v>
      </c>
      <c r="B75" s="2" t="inlineStr">
        <is>
          <t>ARAB NATIONAL BANK COMMON STOCK SAR 10</t>
        </is>
      </c>
      <c r="C75" s="18" t="n">
        <v>194145.58</v>
      </c>
      <c r="D75" s="19">
        <f>C75/$C$117</f>
        <v/>
      </c>
      <c r="E75" s="20" t="inlineStr">
        <is>
          <t>B12LZK2</t>
        </is>
      </c>
    </row>
    <row r="76">
      <c r="A76" s="41" t="n">
        <v>196322</v>
      </c>
      <c r="B76" s="2" t="inlineStr">
        <is>
          <t>QATAR GAS TRANSPORT CO LTD COMMON STOCK QAR 1</t>
        </is>
      </c>
      <c r="C76" s="18" t="n">
        <v>188772.19</v>
      </c>
      <c r="D76" s="19">
        <f>C76/$C$117</f>
        <v/>
      </c>
      <c r="E76" s="20" t="inlineStr">
        <is>
          <t>B0MLBC9</t>
        </is>
      </c>
    </row>
    <row r="77">
      <c r="A77" s="41" t="n">
        <v>6520</v>
      </c>
      <c r="B77" s="2" t="inlineStr">
        <is>
          <t>BUPA ARABIA FOR COOPERATIVE INSURANCE CO COMMON STOCK SAR 10</t>
        </is>
      </c>
      <c r="C77" s="18" t="n">
        <v>188163.12</v>
      </c>
      <c r="D77" s="19">
        <f>C77/$C$117</f>
        <v/>
      </c>
      <c r="E77" s="20" t="inlineStr">
        <is>
          <t>B2RLCR0</t>
        </is>
      </c>
    </row>
    <row r="78">
      <c r="A78" s="41" t="n">
        <v>6262</v>
      </c>
      <c r="B78" s="2" t="inlineStr">
        <is>
          <t>LEEJAM SPORTS CO JSC COMMON STOCK SAR 10</t>
        </is>
      </c>
      <c r="C78" s="18" t="n">
        <v>183187.91</v>
      </c>
      <c r="D78" s="19">
        <f>C78/$C$117</f>
        <v/>
      </c>
      <c r="E78" s="20" t="inlineStr">
        <is>
          <t>BF12ZV5</t>
        </is>
      </c>
    </row>
    <row r="79">
      <c r="A79" s="41" t="n">
        <v>20472</v>
      </c>
      <c r="B79" s="2" t="inlineStr">
        <is>
          <t>SAUDI GROUND SERVICES CO COMMON STOCK SAR 10</t>
        </is>
      </c>
      <c r="C79" s="18" t="n">
        <v>182775.26</v>
      </c>
      <c r="D79" s="19">
        <f>C79/$C$117</f>
        <v/>
      </c>
      <c r="E79" s="20" t="inlineStr">
        <is>
          <t>BYYTJ69</t>
        </is>
      </c>
    </row>
    <row r="80">
      <c r="A80" s="41" t="n">
        <v>13207</v>
      </c>
      <c r="B80" s="2" t="inlineStr">
        <is>
          <t>UNITED INTERNATIONAL TRANSPORTATION CO COMMON STOCK SAR 10</t>
        </is>
      </c>
      <c r="C80" s="18" t="n">
        <v>180542.73</v>
      </c>
      <c r="D80" s="19">
        <f>C80/$C$117</f>
        <v/>
      </c>
      <c r="E80" s="20" t="inlineStr">
        <is>
          <t>B2493D0</t>
        </is>
      </c>
    </row>
    <row r="81">
      <c r="A81" s="41" t="n">
        <v>44675</v>
      </c>
      <c r="B81" s="2" t="inlineStr">
        <is>
          <t>AVI LTD COMMON STOCK ZAR 5</t>
        </is>
      </c>
      <c r="C81" s="18" t="n">
        <v>174755.68</v>
      </c>
      <c r="D81" s="19">
        <f>C81/$C$117</f>
        <v/>
      </c>
      <c r="E81" s="20" t="inlineStr">
        <is>
          <t>6040958</t>
        </is>
      </c>
    </row>
    <row r="82">
      <c r="A82" s="41" t="n">
        <v>1803</v>
      </c>
      <c r="B82" s="2" t="inlineStr">
        <is>
          <t>KRUK SA COMMON STOCK PLN 1</t>
        </is>
      </c>
      <c r="C82" s="18" t="n">
        <v>166526.29</v>
      </c>
      <c r="D82" s="19">
        <f>C82/$C$117</f>
        <v/>
      </c>
      <c r="E82" s="20" t="inlineStr">
        <is>
          <t>B4PTLY0</t>
        </is>
      </c>
    </row>
    <row r="83">
      <c r="A83" s="41" t="n">
        <v>6569</v>
      </c>
      <c r="B83" s="2" t="inlineStr">
        <is>
          <t>ALKHORAYEF WATER &amp; POWER TECHNOLOGIES CO COMMON STOCK SAR 10</t>
        </is>
      </c>
      <c r="C83" s="18" t="n">
        <v>164308.91</v>
      </c>
      <c r="D83" s="19">
        <f>C83/$C$117</f>
        <v/>
      </c>
      <c r="E83" s="20" t="inlineStr">
        <is>
          <t>BN33QN1</t>
        </is>
      </c>
    </row>
    <row r="84">
      <c r="A84" s="41" t="n">
        <v>27398</v>
      </c>
      <c r="B84" s="2" t="inlineStr">
        <is>
          <t>SAUDI AWWAL BANK COMMON STOCK SAR 10</t>
        </is>
      </c>
      <c r="C84" s="18" t="n">
        <v>163001.95</v>
      </c>
      <c r="D84" s="19">
        <f>C84/$C$117</f>
        <v/>
      </c>
      <c r="E84" s="20" t="inlineStr">
        <is>
          <t>B12LSY7</t>
        </is>
      </c>
    </row>
    <row r="85">
      <c r="A85" s="41" t="n">
        <v>6309</v>
      </c>
      <c r="B85" s="2" t="inlineStr">
        <is>
          <t>RIYADH CABLES GROUP CO COMMON STOCK SAR 10</t>
        </is>
      </c>
      <c r="C85" s="18" t="n">
        <v>160419.09</v>
      </c>
      <c r="D85" s="19">
        <f>C85/$C$117</f>
        <v/>
      </c>
      <c r="E85" s="20" t="inlineStr">
        <is>
          <t>BNBPXW7</t>
        </is>
      </c>
    </row>
    <row r="86">
      <c r="A86" s="41" t="n">
        <v>1268490</v>
      </c>
      <c r="B86" s="2" t="inlineStr">
        <is>
          <t>NOVATEK PJSC COMMON STOCK RUB 0.1</t>
        </is>
      </c>
      <c r="C86" s="18" t="n">
        <v>148190.78</v>
      </c>
      <c r="D86" s="19">
        <f>C86/$C$117</f>
        <v/>
      </c>
      <c r="E86" s="20" t="inlineStr">
        <is>
          <t>X84C972</t>
        </is>
      </c>
    </row>
    <row r="87">
      <c r="A87" s="41" t="n">
        <v>103572</v>
      </c>
      <c r="B87" s="2" t="inlineStr">
        <is>
          <t>NOVATEK PJSC COMMON STOCK RUB 0.1</t>
        </is>
      </c>
      <c r="C87" s="18" t="n">
        <v>11771.47</v>
      </c>
      <c r="D87" s="19">
        <f>C87/$C$117</f>
        <v/>
      </c>
      <c r="E87" s="20" t="inlineStr">
        <is>
          <t>X84C970</t>
        </is>
      </c>
    </row>
    <row r="88">
      <c r="A88" s="28" t="n"/>
      <c r="B88" s="27" t="inlineStr">
        <is>
          <t>Subtotal</t>
        </is>
      </c>
      <c r="C88" s="29">
        <f>+C87+C86</f>
        <v/>
      </c>
      <c r="D88" s="31">
        <f>C88/$C$120</f>
        <v/>
      </c>
      <c r="E88" s="38" t="n"/>
    </row>
    <row r="89">
      <c r="A89" s="41" t="n">
        <v>234111</v>
      </c>
      <c r="B89" s="2" t="inlineStr">
        <is>
          <t>TECOM GROUP PJSC COMMON STOCK AED 0.1</t>
        </is>
      </c>
      <c r="C89" s="18" t="n">
        <v>158042.64</v>
      </c>
      <c r="D89" s="19">
        <f>C89/$C$117</f>
        <v/>
      </c>
      <c r="E89" s="20" t="inlineStr">
        <is>
          <t>BLDC8Q1</t>
        </is>
      </c>
    </row>
    <row r="90">
      <c r="A90" s="41" t="n">
        <v>6134</v>
      </c>
      <c r="B90" s="2" t="inlineStr">
        <is>
          <t>ALDREES PETROLEUM AND TRANSPORT SERVICES CO COMMON STOCK SAR 10</t>
        </is>
      </c>
      <c r="C90" s="18" t="n">
        <v>144353.33</v>
      </c>
      <c r="D90" s="19">
        <f>C90/$C$117</f>
        <v/>
      </c>
      <c r="E90" s="20" t="inlineStr">
        <is>
          <t>B128FF8</t>
        </is>
      </c>
    </row>
    <row r="91">
      <c r="A91" s="41" t="n">
        <v>6082</v>
      </c>
      <c r="B91" s="2" t="inlineStr">
        <is>
          <t>CO FOR COOPERATIVE INSURANCE/THE COMMON STOCK SAR 10</t>
        </is>
      </c>
      <c r="C91" s="18" t="n">
        <v>140490.16</v>
      </c>
      <c r="D91" s="19">
        <f>C91/$C$117</f>
        <v/>
      </c>
      <c r="E91" s="20" t="inlineStr">
        <is>
          <t>B128FN6</t>
        </is>
      </c>
    </row>
    <row r="92">
      <c r="A92" s="41" t="n">
        <v>7795</v>
      </c>
      <c r="B92" s="2" t="inlineStr">
        <is>
          <t>UNITED ELECTRONICS CO COMMON STOCK SAR</t>
        </is>
      </c>
      <c r="C92" s="18" t="n">
        <v>139003.95</v>
      </c>
      <c r="D92" s="19">
        <f>C92/$C$117</f>
        <v/>
      </c>
      <c r="E92" s="20" t="inlineStr">
        <is>
          <t>B4P2SD7</t>
        </is>
      </c>
    </row>
    <row r="93">
      <c r="A93" s="41" t="n">
        <v>53407</v>
      </c>
      <c r="B93" s="2" t="inlineStr">
        <is>
          <t>TURKIYE GARANTI BANKASI AS COMMON STOCK TRY 1</t>
        </is>
      </c>
      <c r="C93" s="18" t="n">
        <v>138427.03</v>
      </c>
      <c r="D93" s="19">
        <f>C93/$C$117</f>
        <v/>
      </c>
      <c r="E93" s="20" t="inlineStr">
        <is>
          <t>B03MYP5</t>
        </is>
      </c>
    </row>
    <row r="94">
      <c r="A94" s="41" t="n">
        <v>2568</v>
      </c>
      <c r="B94" s="2" t="inlineStr">
        <is>
          <t>SAUDIA DAIRY &amp; FOODSTUFF CO COMMON STOCK SAR 10</t>
        </is>
      </c>
      <c r="C94" s="18" t="n">
        <v>135456.24</v>
      </c>
      <c r="D94" s="19">
        <f>C94/$C$117</f>
        <v/>
      </c>
      <c r="E94" s="20" t="inlineStr">
        <is>
          <t>B133P41</t>
        </is>
      </c>
    </row>
    <row r="95">
      <c r="A95" s="41" t="n">
        <v>7119200</v>
      </c>
      <c r="B95" s="2" t="inlineStr">
        <is>
          <t>MMC NORILSK NICKEL PJSC COMMON STOCK RUB 1</t>
        </is>
      </c>
      <c r="C95" s="18" t="n">
        <v>127188.36</v>
      </c>
      <c r="D95" s="19">
        <f>C95/$C$117</f>
        <v/>
      </c>
      <c r="E95" s="20" t="inlineStr">
        <is>
          <t>X84C977</t>
        </is>
      </c>
    </row>
    <row r="96">
      <c r="A96" s="41" t="n">
        <v>6774</v>
      </c>
      <c r="B96" s="2" t="inlineStr">
        <is>
          <t>JERONIMO MARTINS SGPS SA COMMON STOCK EUR 1</t>
        </is>
      </c>
      <c r="C96" s="18" t="n">
        <v>124065.25</v>
      </c>
      <c r="D96" s="19">
        <f>C96/$C$117</f>
        <v/>
      </c>
      <c r="E96" s="20" t="inlineStr">
        <is>
          <t>B1Y1SQ7</t>
        </is>
      </c>
    </row>
    <row r="97">
      <c r="A97" s="41" t="n">
        <v>2041744</v>
      </c>
      <c r="B97" s="2" t="inlineStr">
        <is>
          <t>ROSNEFT OIL CO PJSC COMMON STOCK RUB 0.01</t>
        </is>
      </c>
      <c r="C97" s="18" t="n">
        <v>56253.82</v>
      </c>
      <c r="D97" s="19">
        <f>C97/$C$117</f>
        <v/>
      </c>
      <c r="E97" s="20" t="inlineStr">
        <is>
          <t>X84C971</t>
        </is>
      </c>
    </row>
    <row r="98">
      <c r="A98" s="41" t="n">
        <v>1677948</v>
      </c>
      <c r="B98" s="2" t="inlineStr">
        <is>
          <t>ROSNEFT OIL CO PJSC COMMON STOCK RUB</t>
        </is>
      </c>
      <c r="C98" s="18" t="n">
        <v>47577.51</v>
      </c>
      <c r="D98" s="19">
        <f>C98/$C$117</f>
        <v/>
      </c>
      <c r="E98" s="20" t="inlineStr">
        <is>
          <t>X84D1F9</t>
        </is>
      </c>
    </row>
    <row r="99">
      <c r="A99" s="28" t="n"/>
      <c r="B99" s="27" t="inlineStr">
        <is>
          <t>Subtotal</t>
        </is>
      </c>
      <c r="C99" s="29">
        <f>+C98+C97</f>
        <v/>
      </c>
      <c r="D99" s="31">
        <f>C99/$C$120</f>
        <v/>
      </c>
      <c r="E99" s="38" t="n"/>
    </row>
    <row r="100">
      <c r="A100" s="41" t="n">
        <v>3657350</v>
      </c>
      <c r="B100" s="2" t="inlineStr">
        <is>
          <t>NOVOLIPETSK STEEL PJSC COMMON STOCK RUB</t>
        </is>
      </c>
      <c r="C100" s="18" t="n">
        <v>63130.66</v>
      </c>
      <c r="D100" s="19">
        <f>C100/$C$117</f>
        <v/>
      </c>
      <c r="E100" s="20" t="inlineStr">
        <is>
          <t>X84C97E</t>
        </is>
      </c>
    </row>
    <row r="101">
      <c r="A101" s="41" t="n">
        <v>180877</v>
      </c>
      <c r="B101" s="2" t="inlineStr">
        <is>
          <t>MAGNIT PJSC COMMON STOCK RUB 0.01</t>
        </is>
      </c>
      <c r="C101" s="18" t="n">
        <v>50158.55</v>
      </c>
      <c r="D101" s="19">
        <f>C101/$C$117</f>
        <v/>
      </c>
      <c r="E101" s="20" t="inlineStr">
        <is>
          <t>X8C505A</t>
        </is>
      </c>
    </row>
    <row r="102">
      <c r="A102" s="41" t="n">
        <v>1265335</v>
      </c>
      <c r="B102" s="2" t="inlineStr">
        <is>
          <t>GAZPROM NEFT PJSC COMMON STOCK RUB</t>
        </is>
      </c>
      <c r="C102" s="18" t="n">
        <v>45326.67</v>
      </c>
      <c r="D102" s="19">
        <f>C102/$C$117</f>
        <v/>
      </c>
      <c r="E102" s="20" t="inlineStr">
        <is>
          <t>X84D1F6</t>
        </is>
      </c>
    </row>
    <row r="103">
      <c r="A103" s="41" t="n">
        <v>730066</v>
      </c>
      <c r="B103" s="2" t="inlineStr">
        <is>
          <t>TATNEFT PJSC COMMON STOCK RUB</t>
        </is>
      </c>
      <c r="C103" s="18" t="n">
        <v>24513.42</v>
      </c>
      <c r="D103" s="19">
        <f>C103/$C$117</f>
        <v/>
      </c>
      <c r="E103" s="20" t="inlineStr">
        <is>
          <t>X84C973</t>
        </is>
      </c>
    </row>
    <row r="104">
      <c r="A104" s="41" t="n">
        <v>571359</v>
      </c>
      <c r="B104" s="2" t="inlineStr">
        <is>
          <t>TATNEFT PJSC PREFERENCE RUB 1</t>
        </is>
      </c>
      <c r="C104" s="18" t="n">
        <v>16989.25</v>
      </c>
      <c r="D104" s="19">
        <f>C104/$C$117</f>
        <v/>
      </c>
      <c r="E104" s="20" t="inlineStr">
        <is>
          <t>X8C6150</t>
        </is>
      </c>
    </row>
    <row r="105">
      <c r="A105" s="28" t="n"/>
      <c r="B105" s="27" t="inlineStr">
        <is>
          <t>Subtotal</t>
        </is>
      </c>
      <c r="C105" s="29">
        <f>+C104+C103</f>
        <v/>
      </c>
      <c r="D105" s="31">
        <f>C105/$C$120</f>
        <v/>
      </c>
      <c r="E105" s="38" t="n"/>
    </row>
    <row r="106">
      <c r="A106" s="41" t="n">
        <v>6156103</v>
      </c>
      <c r="B106" s="2" t="inlineStr">
        <is>
          <t>ROSTELECOM PJSC COMMON STOCK RUB</t>
        </is>
      </c>
      <c r="C106" s="18" t="n">
        <v>39098.87</v>
      </c>
      <c r="D106" s="19">
        <f>C106/$C$117</f>
        <v/>
      </c>
      <c r="E106" s="20" t="inlineStr">
        <is>
          <t>X84C978</t>
        </is>
      </c>
    </row>
    <row r="107">
      <c r="A107" s="41" t="n">
        <v>4246654</v>
      </c>
      <c r="B107" s="2" t="inlineStr">
        <is>
          <t>VTB BANK PJSC COMMON STOCK RUB 0.01</t>
        </is>
      </c>
      <c r="C107" s="18" t="n">
        <v>38033.02</v>
      </c>
      <c r="D107" s="19">
        <f>C107/$C$117</f>
        <v/>
      </c>
      <c r="E107" s="20" t="inlineStr">
        <is>
          <t>X8C6392</t>
        </is>
      </c>
    </row>
    <row r="108">
      <c r="A108" s="41" t="n">
        <v>297730</v>
      </c>
      <c r="B108" s="2" t="inlineStr">
        <is>
          <t>POLYUS PJSC COMMON STOCK RUB</t>
        </is>
      </c>
      <c r="C108" s="18" t="n">
        <v>30489.91</v>
      </c>
      <c r="D108" s="19">
        <f>C108/$C$117</f>
        <v/>
      </c>
      <c r="E108" s="20" t="inlineStr">
        <is>
          <t>X84D1F8</t>
        </is>
      </c>
    </row>
    <row r="109">
      <c r="A109" s="41" t="n">
        <v>432517</v>
      </c>
      <c r="B109" s="2" t="inlineStr">
        <is>
          <t>MD MEDICAL GROUP INVESTMENTS PLC GDR USD</t>
        </is>
      </c>
      <c r="C109" s="18" t="n">
        <v>18247.64</v>
      </c>
      <c r="D109" s="19">
        <f>C109/$C$117</f>
        <v/>
      </c>
      <c r="E109" s="20" t="inlineStr">
        <is>
          <t>X8C6397</t>
        </is>
      </c>
    </row>
    <row r="110">
      <c r="A110" s="41" t="n">
        <v>12313057</v>
      </c>
      <c r="B110" s="2" t="inlineStr">
        <is>
          <t>SISTEMA PJSFC COMMON STOCK RUB 0.09</t>
        </is>
      </c>
      <c r="C110" s="18" t="n">
        <v>13715.29</v>
      </c>
      <c r="D110" s="19">
        <f>C110/$C$117</f>
        <v/>
      </c>
      <c r="E110" s="20" t="inlineStr">
        <is>
          <t>X84D1F7</t>
        </is>
      </c>
    </row>
    <row r="111">
      <c r="A111" s="41" t="n">
        <v>577525</v>
      </c>
      <c r="B111" s="2" t="inlineStr">
        <is>
          <t>FIX PRICE GROUP LTD GDR</t>
        </is>
      </c>
      <c r="C111" s="18" t="n">
        <v>4018.16</v>
      </c>
      <c r="D111" s="19">
        <f>C111/$C$117</f>
        <v/>
      </c>
      <c r="E111" s="20" t="inlineStr">
        <is>
          <t>X84CF24</t>
        </is>
      </c>
    </row>
    <row r="112">
      <c r="A112" s="41" t="n">
        <v>75226</v>
      </c>
      <c r="B112" s="2" t="inlineStr">
        <is>
          <t>TCS GROUP HOLDING PLC GDR</t>
        </is>
      </c>
      <c r="C112" s="18" t="n">
        <v>1777.85</v>
      </c>
      <c r="D112" s="19">
        <f>C112/$C$117</f>
        <v/>
      </c>
      <c r="E112" s="20" t="inlineStr">
        <is>
          <t>X8C4FD3</t>
        </is>
      </c>
    </row>
    <row r="113">
      <c r="A113" s="41" t="n">
        <v>275182</v>
      </c>
      <c r="B113" s="2" t="inlineStr">
        <is>
          <t>X 5 RETAIL GROUP NV-REGS GDR</t>
        </is>
      </c>
      <c r="C113" s="18" t="n">
        <v>1082.36</v>
      </c>
      <c r="D113" s="19">
        <f>C113/$C$117</f>
        <v/>
      </c>
      <c r="E113" s="20" t="inlineStr">
        <is>
          <t>X8C4FD9</t>
        </is>
      </c>
    </row>
    <row r="114">
      <c r="A114" s="41" t="n">
        <v>1011.54</v>
      </c>
      <c r="B114" s="45" t="inlineStr">
        <is>
          <t>JPM USD LIQUIDITY LVNAV X (DIST.)</t>
        </is>
      </c>
      <c r="C114" s="18" t="n">
        <v>748.71</v>
      </c>
      <c r="D114" s="19">
        <f>C114/$C$117</f>
        <v/>
      </c>
      <c r="E114" s="20" t="inlineStr">
        <is>
          <t>7253766</t>
        </is>
      </c>
    </row>
    <row r="115">
      <c r="A115" s="41" t="n">
        <v>552780</v>
      </c>
      <c r="B115" s="2" t="inlineStr">
        <is>
          <t>SEVERSTAL PAO GDR USD</t>
        </is>
      </c>
      <c r="C115" s="18" t="n">
        <v>245.9</v>
      </c>
      <c r="D115" s="19">
        <f>C115/$C$117</f>
        <v/>
      </c>
      <c r="E115" s="20" t="inlineStr">
        <is>
          <t>X84C975</t>
        </is>
      </c>
    </row>
    <row r="116">
      <c r="A116" s="28" t="n"/>
      <c r="B116" s="2" t="n"/>
      <c r="C116" s="18" t="n"/>
      <c r="D116" s="19" t="n"/>
      <c r="E116" s="38" t="n"/>
    </row>
    <row r="117">
      <c r="A117" s="28" t="n"/>
      <c r="B117" s="21" t="inlineStr">
        <is>
          <t>Total portfolio</t>
        </is>
      </c>
      <c r="C117" s="39">
        <f>SUM(C12:C43)+SUM(C45:C66)+SUM(C68:C72)+SUM(C74:C87)+SUM(C89:C98)+SUM(C100:C104)+SUM(C106:C115)</f>
        <v/>
      </c>
      <c r="D117" s="19">
        <f>C117/$C$120</f>
        <v/>
      </c>
      <c r="E117" s="20" t="n"/>
    </row>
    <row r="118">
      <c r="A118" s="28" t="n"/>
      <c r="B118" s="21" t="inlineStr">
        <is>
          <t>Net Current Assets</t>
        </is>
      </c>
      <c r="C118" s="39" t="n">
        <v>379482.32</v>
      </c>
      <c r="D118" s="19">
        <f>C118/$C$120</f>
        <v/>
      </c>
      <c r="E118" s="20" t="n"/>
    </row>
    <row r="119">
      <c r="A119" s="28" t="n"/>
      <c r="B119" s="21" t="n"/>
      <c r="C119" s="39" t="n"/>
      <c r="D119" s="32" t="n"/>
      <c r="E119" s="20" t="n"/>
    </row>
    <row r="120">
      <c r="A120" s="17" t="n"/>
      <c r="B120" s="21" t="inlineStr">
        <is>
          <t>Total Assets</t>
        </is>
      </c>
      <c r="C120" s="22">
        <f>C117+C118</f>
        <v/>
      </c>
      <c r="D120" s="19">
        <f>C120/$C$120</f>
        <v/>
      </c>
      <c r="E120" s="3" t="n"/>
    </row>
    <row r="121">
      <c r="A12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2"/>
    <row r="123"/>
    <row r="124"/>
  </sheetData>
  <mergeCells count="2">
    <mergeCell ref="A121:E124"/>
    <mergeCell ref="A3:E6"/>
  </mergeCells>
  <conditionalFormatting sqref="B12:B116">
    <cfRule type="containsText" priority="1" operator="containsText" dxfId="0" text="LIQUIDITY">
      <formula>NOT(ISERROR(SEARCH("LIQUIDITY",B12)))</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124"/>
  <sheetViews>
    <sheetView topLeftCell="A98" workbookViewId="0">
      <selection activeCell="B118" sqref="B118"/>
    </sheetView>
  </sheetViews>
  <sheetFormatPr baseColWidth="8" defaultRowHeight="12.75"/>
  <cols>
    <col width="15.7109375" customWidth="1" style="42" min="1" max="1"/>
    <col width="57.285156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46.5" customHeight="1" s="42">
      <c r="A6" s="65" t="n"/>
      <c r="B6" s="66" t="n"/>
      <c r="C6" s="66" t="n"/>
      <c r="D6" s="66" t="n"/>
      <c r="E6" s="67" t="n"/>
    </row>
    <row r="7">
      <c r="A7" s="5" t="n"/>
      <c r="B7" s="5" t="n"/>
      <c r="C7" s="3" t="n"/>
      <c r="D7" s="3" t="n"/>
      <c r="E7" s="3" t="n"/>
    </row>
    <row r="8">
      <c r="A8" s="4" t="inlineStr">
        <is>
          <t>Full portfolio listing as at close of business 31st July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 xml:space="preserve">AL RAJHI BANK COMMON STOCK </t>
        </is>
      </c>
      <c r="C12" s="18" t="n">
        <v>1032672.61</v>
      </c>
      <c r="D12" s="19">
        <f>C12/$C$117</f>
        <v/>
      </c>
      <c r="E12" s="20" t="inlineStr">
        <is>
          <t>B12LZH9</t>
        </is>
      </c>
    </row>
    <row r="13">
      <c r="A13" s="41" t="n">
        <v>91310</v>
      </c>
      <c r="B13" s="2" t="inlineStr">
        <is>
          <t>THE SAUDI NATIONAL BANK</t>
        </is>
      </c>
      <c r="C13" s="18" t="n">
        <v>688317.41</v>
      </c>
      <c r="D13" s="19">
        <f>C13/$C$117</f>
        <v/>
      </c>
      <c r="E13" s="20" t="inlineStr">
        <is>
          <t>BSHYYN1</t>
        </is>
      </c>
    </row>
    <row r="14">
      <c r="A14" s="41" t="n">
        <v>173053</v>
      </c>
      <c r="B14" s="2" t="inlineStr">
        <is>
          <t xml:space="preserve">QATAR NATIONAL BANK QPSC COMMON STOCK </t>
        </is>
      </c>
      <c r="C14" s="18" t="n">
        <v>669826.87</v>
      </c>
      <c r="D14" s="19">
        <f>C14/$C$117</f>
        <v/>
      </c>
      <c r="E14" s="20" t="inlineStr">
        <is>
          <t>6148197</t>
        </is>
      </c>
    </row>
    <row r="15">
      <c r="A15" s="41" t="n">
        <v>201080</v>
      </c>
      <c r="B15" s="2" t="inlineStr">
        <is>
          <t xml:space="preserve">EMAAR PROPERTIES PJSC COMMON STOCK </t>
        </is>
      </c>
      <c r="C15" s="18" t="n">
        <v>630857.46</v>
      </c>
      <c r="D15" s="19">
        <f>C15/$C$117</f>
        <v/>
      </c>
      <c r="E15" s="20" t="inlineStr">
        <is>
          <t>B01RM25</t>
        </is>
      </c>
    </row>
    <row r="16">
      <c r="A16" s="41" t="n">
        <v>33759</v>
      </c>
      <c r="B16" s="2" t="inlineStr">
        <is>
          <t xml:space="preserve">GOLD FIELDS LTD COMMON STOCK </t>
        </is>
      </c>
      <c r="C16" s="18" t="n">
        <v>619695.05</v>
      </c>
      <c r="D16" s="19">
        <f>C16/$C$117</f>
        <v/>
      </c>
      <c r="E16" s="20" t="inlineStr">
        <is>
          <t>6280215</t>
        </is>
      </c>
    </row>
    <row r="17">
      <c r="A17" s="41" t="n">
        <v>117334</v>
      </c>
      <c r="B17" s="2" t="inlineStr">
        <is>
          <t xml:space="preserve">ABU DHABI ISLAMIC BANK PJSC COMMON STOCK </t>
        </is>
      </c>
      <c r="C17" s="18" t="n">
        <v>583194.38</v>
      </c>
      <c r="D17" s="19">
        <f>C17/$C$117</f>
        <v/>
      </c>
      <c r="E17" s="20" t="inlineStr">
        <is>
          <t>6001728</t>
        </is>
      </c>
    </row>
    <row r="18">
      <c r="A18" s="41" t="n">
        <v>2386</v>
      </c>
      <c r="B18" s="2" t="inlineStr">
        <is>
          <t xml:space="preserve">NASPERS LTD COMMON STOCK </t>
        </is>
      </c>
      <c r="C18" s="18" t="n">
        <v>562902.91</v>
      </c>
      <c r="D18" s="19">
        <f>C18/$C$117</f>
        <v/>
      </c>
      <c r="E18" s="20" t="inlineStr">
        <is>
          <t>BN0VX82</t>
        </is>
      </c>
    </row>
    <row r="19">
      <c r="A19" s="41" t="n">
        <v>56252</v>
      </c>
      <c r="B19" s="2" t="inlineStr">
        <is>
          <t xml:space="preserve">STANDARD BANK GROUP LTD COMMON STOCK </t>
        </is>
      </c>
      <c r="C19" s="18" t="n">
        <v>551037.1800000001</v>
      </c>
      <c r="D19" s="19">
        <f>C19/$C$117</f>
        <v/>
      </c>
      <c r="E19" s="20" t="inlineStr">
        <is>
          <t>B030GJ7</t>
        </is>
      </c>
    </row>
    <row r="20">
      <c r="A20" s="41" t="n">
        <v>161352</v>
      </c>
      <c r="B20" s="2" t="inlineStr">
        <is>
          <t xml:space="preserve">FIRSTRAND LTD COMMON STOCK </t>
        </is>
      </c>
      <c r="C20" s="18" t="n">
        <v>522230.91</v>
      </c>
      <c r="D20" s="19">
        <f>C20/$C$117</f>
        <v/>
      </c>
      <c r="E20" s="20" t="inlineStr">
        <is>
          <t>6606996</t>
        </is>
      </c>
    </row>
    <row r="21">
      <c r="A21" s="41" t="n">
        <v>29624</v>
      </c>
      <c r="B21" s="2" t="inlineStr">
        <is>
          <t xml:space="preserve">POWSZECHNA KASA OSZCZEDNOSCI BANK POLSKI SA COMMON STOCK </t>
        </is>
      </c>
      <c r="C21" s="18" t="n">
        <v>493754.42</v>
      </c>
      <c r="D21" s="19">
        <f>C21/$C$117</f>
        <v/>
      </c>
      <c r="E21" s="20" t="inlineStr">
        <is>
          <t>B03NGS5</t>
        </is>
      </c>
    </row>
    <row r="22">
      <c r="A22" s="41" t="n">
        <v>125683</v>
      </c>
      <c r="B22" s="2" t="inlineStr">
        <is>
          <t xml:space="preserve">SASOL LTD COMMON STOCK </t>
        </is>
      </c>
      <c r="C22" s="18" t="n">
        <v>492186.02</v>
      </c>
      <c r="D22" s="19">
        <f>C22/$C$117</f>
        <v/>
      </c>
      <c r="E22" s="20" t="inlineStr">
        <is>
          <t>6777450</t>
        </is>
      </c>
    </row>
    <row r="23">
      <c r="A23" s="41" t="n">
        <v>187147</v>
      </c>
      <c r="B23" s="2" t="inlineStr">
        <is>
          <t xml:space="preserve">NATIONAL BANK OF KUWAIT SAKP COMMON STOCK </t>
        </is>
      </c>
      <c r="C23" s="18" t="n">
        <v>484337.4</v>
      </c>
      <c r="D23" s="19">
        <f>C23/$C$117</f>
        <v/>
      </c>
      <c r="E23" s="20" t="inlineStr">
        <is>
          <t>6889526</t>
        </is>
      </c>
    </row>
    <row r="24">
      <c r="A24" s="41" t="n">
        <v>7890</v>
      </c>
      <c r="B24" s="2" t="inlineStr">
        <is>
          <t>JSC KASPI.KZ GDR-REG S</t>
        </is>
      </c>
      <c r="C24" s="18" t="n">
        <v>470412.96</v>
      </c>
      <c r="D24" s="19">
        <f>C24/$C$117</f>
        <v/>
      </c>
      <c r="E24" s="20" t="inlineStr">
        <is>
          <t>BJY21K1</t>
        </is>
      </c>
    </row>
    <row r="25">
      <c r="A25" s="41" t="n">
        <v>10827</v>
      </c>
      <c r="B25" s="2" t="inlineStr">
        <is>
          <t xml:space="preserve">METLEN ENERGY &amp; METALS SA COMMON STOCK </t>
        </is>
      </c>
      <c r="C25" s="18" t="n">
        <v>453037.39</v>
      </c>
      <c r="D25" s="19">
        <f>C25/$C$117</f>
        <v/>
      </c>
      <c r="E25" s="20" t="inlineStr">
        <is>
          <t>5898664</t>
        </is>
      </c>
    </row>
    <row r="26">
      <c r="A26" s="41" t="n">
        <v>646</v>
      </c>
      <c r="B26" s="2" t="inlineStr">
        <is>
          <t xml:space="preserve">BENEFIT SYSTEMS SA COMMON STOCK </t>
        </is>
      </c>
      <c r="C26" s="18" t="n">
        <v>443836.75</v>
      </c>
      <c r="D26" s="19">
        <f>C26/$C$117</f>
        <v/>
      </c>
      <c r="E26" s="20" t="inlineStr">
        <is>
          <t>B4XY9X2</t>
        </is>
      </c>
    </row>
    <row r="27">
      <c r="A27" s="41" t="n">
        <v>221457</v>
      </c>
      <c r="B27" s="2" t="inlineStr">
        <is>
          <t xml:space="preserve">ALDAR PROPERTIES PJSC COMMON STOCK </t>
        </is>
      </c>
      <c r="C27" s="18" t="n">
        <v>433729.42</v>
      </c>
      <c r="D27" s="19">
        <f>C27/$C$117</f>
        <v/>
      </c>
      <c r="E27" s="20" t="inlineStr">
        <is>
          <t>B0LX3Y2</t>
        </is>
      </c>
    </row>
    <row r="28">
      <c r="A28" s="41" t="n">
        <v>208499</v>
      </c>
      <c r="B28" s="2" t="inlineStr">
        <is>
          <t xml:space="preserve">DUBAI ISLAMIC BANK PJSC COMMON STOCK </t>
        </is>
      </c>
      <c r="C28" s="18" t="n">
        <v>428082.07</v>
      </c>
      <c r="D28" s="19">
        <f>C28/$C$117</f>
        <v/>
      </c>
      <c r="E28" s="20" t="inlineStr">
        <is>
          <t>6283452</t>
        </is>
      </c>
    </row>
    <row r="29">
      <c r="A29" s="41" t="n">
        <v>15105</v>
      </c>
      <c r="B29" s="2" t="inlineStr">
        <is>
          <t xml:space="preserve">NOVA LJUBLJANSKA BANKA DD GDR </t>
        </is>
      </c>
      <c r="C29" s="18" t="n">
        <v>424584.5</v>
      </c>
      <c r="D29" s="19">
        <f>C29/$C$117</f>
        <v/>
      </c>
      <c r="E29" s="20" t="inlineStr">
        <is>
          <t>BGRPD22</t>
        </is>
      </c>
    </row>
    <row r="30">
      <c r="A30" s="41" t="n">
        <v>65805</v>
      </c>
      <c r="B30" s="2" t="inlineStr">
        <is>
          <t xml:space="preserve">OPTIMA BANK SA COMMON STOCK </t>
        </is>
      </c>
      <c r="C30" s="18" t="n">
        <v>411488.06</v>
      </c>
      <c r="D30" s="19">
        <f>C30/$C$117</f>
        <v/>
      </c>
      <c r="E30" s="20" t="inlineStr">
        <is>
          <t>BL571C1</t>
        </is>
      </c>
    </row>
    <row r="31">
      <c r="A31" s="41" t="n">
        <v>35906</v>
      </c>
      <c r="B31" s="2" t="inlineStr">
        <is>
          <t xml:space="preserve">NATIONAL BANK OF GREECE SA COMMON STOCK </t>
        </is>
      </c>
      <c r="C31" s="18" t="n">
        <v>380730.39</v>
      </c>
      <c r="D31" s="19">
        <f>C31/$C$117</f>
        <v/>
      </c>
      <c r="E31" s="20" t="inlineStr">
        <is>
          <t>BG087C6</t>
        </is>
      </c>
    </row>
    <row r="32">
      <c r="A32" s="41" t="n">
        <v>11905</v>
      </c>
      <c r="B32" s="2" t="inlineStr">
        <is>
          <t>NAC KAZATOMPROM JSC GDR</t>
        </is>
      </c>
      <c r="C32" s="18" t="n">
        <v>370639.66</v>
      </c>
      <c r="D32" s="19">
        <f>C32/$C$117</f>
        <v/>
      </c>
      <c r="E32" s="20" t="inlineStr">
        <is>
          <t>BGXQL36</t>
        </is>
      </c>
    </row>
    <row r="33">
      <c r="A33" s="41" t="n">
        <v>288479</v>
      </c>
      <c r="B33" s="2" t="inlineStr">
        <is>
          <t>AKBANK TAS COMMON STOCK</t>
        </is>
      </c>
      <c r="C33" s="18" t="n">
        <v>362486.72</v>
      </c>
      <c r="D33" s="19">
        <f>C33/$C$117</f>
        <v/>
      </c>
      <c r="E33" s="20" t="inlineStr">
        <is>
          <t>B03MN70</t>
        </is>
      </c>
    </row>
    <row r="34">
      <c r="A34" s="41" t="n">
        <v>35872</v>
      </c>
      <c r="B34" s="2" t="inlineStr">
        <is>
          <t xml:space="preserve">HARMONY GOLD MINING CO LTD COMMON STOCK </t>
        </is>
      </c>
      <c r="C34" s="18" t="n">
        <v>362475.52</v>
      </c>
      <c r="D34" s="19">
        <f>C34/$C$117</f>
        <v/>
      </c>
      <c r="E34" s="20" t="inlineStr">
        <is>
          <t>6410562</t>
        </is>
      </c>
    </row>
    <row r="35">
      <c r="A35" s="41" t="n">
        <v>18974</v>
      </c>
      <c r="B35" s="2" t="inlineStr">
        <is>
          <t>HALYK SAVINGS BANK OF KAZAKHSTAN JSC GDR</t>
        </is>
      </c>
      <c r="C35" s="18" t="n">
        <v>356295.68</v>
      </c>
      <c r="D35" s="19">
        <f>C35/$C$117</f>
        <v/>
      </c>
      <c r="E35" s="20" t="inlineStr">
        <is>
          <t>B1KDG41</t>
        </is>
      </c>
    </row>
    <row r="36">
      <c r="A36" s="41" t="n">
        <v>57145</v>
      </c>
      <c r="B36" s="2" t="inlineStr">
        <is>
          <t xml:space="preserve">PIRAEUS FINANCIAL HOLDINGS SA COMMON STOCK </t>
        </is>
      </c>
      <c r="C36" s="18" t="n">
        <v>334600.78</v>
      </c>
      <c r="D36" s="19">
        <f>C36/$C$117</f>
        <v/>
      </c>
      <c r="E36" s="20" t="inlineStr">
        <is>
          <t>BNC0DB0</t>
        </is>
      </c>
    </row>
    <row r="37">
      <c r="A37" s="41" t="n">
        <v>118590</v>
      </c>
      <c r="B37" s="45" t="inlineStr">
        <is>
          <t>EUROBANK ERGASIAS SERVICES AND HOLDINGS SA COMMON STOCK</t>
        </is>
      </c>
      <c r="C37" s="18" t="n">
        <v>331394.33</v>
      </c>
      <c r="D37" s="19">
        <f>C37/$C$117</f>
        <v/>
      </c>
      <c r="E37" s="20" t="inlineStr">
        <is>
          <t>BYZ43T4</t>
        </is>
      </c>
    </row>
    <row r="38">
      <c r="A38" s="41" t="n">
        <v>54728</v>
      </c>
      <c r="B38" s="2" t="inlineStr">
        <is>
          <t xml:space="preserve">RIYAD BANK COMMON STOCK </t>
        </is>
      </c>
      <c r="C38" s="18" t="n">
        <v>310903.29</v>
      </c>
      <c r="D38" s="19">
        <f>C38/$C$117</f>
        <v/>
      </c>
      <c r="E38" s="20" t="inlineStr">
        <is>
          <t>B12LZW4</t>
        </is>
      </c>
    </row>
    <row r="39">
      <c r="A39" s="41" t="n">
        <v>108243</v>
      </c>
      <c r="B39" s="2" t="inlineStr">
        <is>
          <t xml:space="preserve">ALPHA BANK SA COMMON STOCK </t>
        </is>
      </c>
      <c r="C39" s="18" t="n">
        <v>308939.76</v>
      </c>
      <c r="D39" s="19">
        <f>C39/$C$117</f>
        <v/>
      </c>
      <c r="E39" s="20" t="inlineStr">
        <is>
          <t>BTJZ707</t>
        </is>
      </c>
    </row>
    <row r="40">
      <c r="A40" s="41" t="n">
        <v>362649</v>
      </c>
      <c r="B40" s="2" t="inlineStr">
        <is>
          <t>LUKOIL PJSC COMMON STOCK</t>
        </is>
      </c>
      <c r="C40" s="18" t="n">
        <v>176311.86</v>
      </c>
      <c r="D40" s="19">
        <f>C40/$C$117</f>
        <v/>
      </c>
      <c r="E40" s="20" t="inlineStr">
        <is>
          <t>X84C974</t>
        </is>
      </c>
    </row>
    <row r="41">
      <c r="A41" s="41" t="n">
        <v>262047</v>
      </c>
      <c r="B41" s="2" t="inlineStr">
        <is>
          <t>LUKOIL PJSC COMMON STOCK</t>
        </is>
      </c>
      <c r="C41" s="18" t="n">
        <v>123482.34</v>
      </c>
      <c r="D41" s="19">
        <f>C41/$C$117</f>
        <v/>
      </c>
      <c r="E41" s="20" t="inlineStr">
        <is>
          <t>X84D1F5</t>
        </is>
      </c>
    </row>
    <row r="42">
      <c r="A42" s="28" t="n"/>
      <c r="B42" s="27" t="inlineStr">
        <is>
          <t>Subtotal</t>
        </is>
      </c>
      <c r="C42" s="29">
        <f>+C41+C40</f>
        <v/>
      </c>
      <c r="D42" s="31">
        <f>C42/$C$120</f>
        <v/>
      </c>
      <c r="E42" s="20" t="n"/>
    </row>
    <row r="43">
      <c r="A43" s="41" t="n">
        <v>56454</v>
      </c>
      <c r="B43" s="2" t="inlineStr">
        <is>
          <t>MONETA MONEY BANK AS COMMON STOCK</t>
        </is>
      </c>
      <c r="C43" s="18" t="n">
        <v>297433.84</v>
      </c>
      <c r="D43" s="19">
        <f>C43/$C$117</f>
        <v/>
      </c>
      <c r="E43" s="20" t="inlineStr">
        <is>
          <t>BD3CQ16</t>
        </is>
      </c>
    </row>
    <row r="44">
      <c r="A44" s="41" t="n">
        <v>23041</v>
      </c>
      <c r="B44" s="2" t="inlineStr">
        <is>
          <t xml:space="preserve">POWSZECHNY ZAKLAD UBEZPIECZEN SA COMMON STOCK </t>
        </is>
      </c>
      <c r="C44" s="18" t="n">
        <v>293760.12</v>
      </c>
      <c r="D44" s="19">
        <f>C44/$C$117</f>
        <v/>
      </c>
      <c r="E44" s="20" t="inlineStr">
        <is>
          <t>B63DG21</t>
        </is>
      </c>
    </row>
    <row r="45">
      <c r="A45" s="41" t="n">
        <v>24898</v>
      </c>
      <c r="B45" s="45" t="inlineStr">
        <is>
          <t>SARANTIS SA</t>
        </is>
      </c>
      <c r="C45" s="18" t="n">
        <v>288986.15</v>
      </c>
      <c r="D45" s="19">
        <f>C45/$C$117</f>
        <v/>
      </c>
      <c r="E45" s="20" t="inlineStr">
        <is>
          <t>7124958</t>
        </is>
      </c>
    </row>
    <row r="46">
      <c r="A46" s="41" t="n">
        <v>1487796</v>
      </c>
      <c r="B46" s="2" t="inlineStr">
        <is>
          <t>TURKIYE SIGORTA AS COMMON STOCK</t>
        </is>
      </c>
      <c r="C46" s="18" t="n">
        <v>273913.73</v>
      </c>
      <c r="D46" s="19">
        <f>C46/$C$117</f>
        <v/>
      </c>
      <c r="E46" s="20" t="inlineStr">
        <is>
          <t>B03MTD8</t>
        </is>
      </c>
    </row>
    <row r="47">
      <c r="A47" s="41" t="n">
        <v>155262</v>
      </c>
      <c r="B47" s="2" t="inlineStr">
        <is>
          <t>TURKCELL ILETISIM HIZMET AS</t>
        </is>
      </c>
      <c r="C47" s="18" t="n">
        <v>269518.23</v>
      </c>
      <c r="D47" s="19">
        <f>C47/$C$117</f>
        <v/>
      </c>
      <c r="E47" s="20" t="inlineStr">
        <is>
          <t>B03MYN3</t>
        </is>
      </c>
    </row>
    <row r="48">
      <c r="A48" s="41" t="n">
        <v>35367</v>
      </c>
      <c r="B48" s="2" t="inlineStr">
        <is>
          <t>ABSA GROUP LTD</t>
        </is>
      </c>
      <c r="C48" s="18" t="n">
        <v>266669.76</v>
      </c>
      <c r="D48" s="19">
        <f>C48/$C$117</f>
        <v/>
      </c>
      <c r="E48" s="20" t="inlineStr">
        <is>
          <t>BFX05H3</t>
        </is>
      </c>
    </row>
    <row r="49">
      <c r="A49" s="41" t="n">
        <v>85774</v>
      </c>
      <c r="B49" s="2" t="inlineStr">
        <is>
          <t xml:space="preserve">EMAAR DEVELOPMENT PJSC COMMON STOCK </t>
        </is>
      </c>
      <c r="C49" s="18" t="n">
        <v>265573.47</v>
      </c>
      <c r="D49" s="19">
        <f>C49/$C$117</f>
        <v/>
      </c>
      <c r="E49" s="20" t="inlineStr">
        <is>
          <t>BDG1977</t>
        </is>
      </c>
    </row>
    <row r="50">
      <c r="A50" s="41" t="n">
        <v>23805</v>
      </c>
      <c r="B50" s="2" t="inlineStr">
        <is>
          <t xml:space="preserve">SHOPRITE HOLDINGS LTD COMMON STOCK </t>
        </is>
      </c>
      <c r="C50" s="18" t="n">
        <v>264128.87</v>
      </c>
      <c r="D50" s="19">
        <f>C50/$C$117</f>
        <v/>
      </c>
      <c r="E50" s="20" t="inlineStr">
        <is>
          <t>6801575</t>
        </is>
      </c>
    </row>
    <row r="51">
      <c r="A51" s="41" t="n">
        <v>43960</v>
      </c>
      <c r="B51" s="2" t="inlineStr">
        <is>
          <t xml:space="preserve">BANK OF CYPRUS HOLDINGS PLC COMMON STOCK </t>
        </is>
      </c>
      <c r="C51" s="18" t="n">
        <v>250935.24</v>
      </c>
      <c r="D51" s="19">
        <f>C51/$C$117</f>
        <v/>
      </c>
      <c r="E51" s="20" t="inlineStr">
        <is>
          <t>BN2BZT5</t>
        </is>
      </c>
    </row>
    <row r="52">
      <c r="A52" s="41" t="n">
        <v>118565</v>
      </c>
      <c r="B52" s="2" t="inlineStr">
        <is>
          <t xml:space="preserve">EMIRATES INTEGRATED TELECOMMUNICATIONS CO PJSC COMMON STOCK </t>
        </is>
      </c>
      <c r="C52" s="18" t="n">
        <v>243676.99</v>
      </c>
      <c r="D52" s="19">
        <f>C52/$C$117</f>
        <v/>
      </c>
      <c r="E52" s="20" t="inlineStr">
        <is>
          <t>B13TMN7</t>
        </is>
      </c>
    </row>
    <row r="53">
      <c r="A53" s="41" t="n">
        <v>71</v>
      </c>
      <c r="B53" s="2" t="inlineStr">
        <is>
          <t xml:space="preserve">LPP SA COMMON STOCK </t>
        </is>
      </c>
      <c r="C53" s="18" t="n">
        <v>239521.72</v>
      </c>
      <c r="D53" s="19">
        <f>C53/$C$117</f>
        <v/>
      </c>
      <c r="E53" s="20" t="inlineStr">
        <is>
          <t>7127979</t>
        </is>
      </c>
    </row>
    <row r="54">
      <c r="A54" s="41" t="n">
        <v>55815</v>
      </c>
      <c r="B54" s="2" t="inlineStr">
        <is>
          <t xml:space="preserve">ARABIAN CENTRES CO COMMON STOCK </t>
        </is>
      </c>
      <c r="C54" s="18" t="n">
        <v>233198.8</v>
      </c>
      <c r="D54" s="19">
        <f>C54/$C$117</f>
        <v/>
      </c>
      <c r="E54" s="20" t="inlineStr">
        <is>
          <t>BKBF694</t>
        </is>
      </c>
    </row>
    <row r="55">
      <c r="A55" s="41" t="n">
        <v>43441</v>
      </c>
      <c r="B55" s="2" t="inlineStr">
        <is>
          <t>TURK HAVA YOLLARI AO COMMON STOCK</t>
        </is>
      </c>
      <c r="C55" s="18" t="n">
        <v>232696.19</v>
      </c>
      <c r="D55" s="19">
        <f>C55/$C$117</f>
        <v/>
      </c>
      <c r="E55" s="20" t="inlineStr">
        <is>
          <t>B03MYK0</t>
        </is>
      </c>
    </row>
    <row r="56">
      <c r="A56" s="41" t="n">
        <v>182204</v>
      </c>
      <c r="B56" s="2" t="inlineStr">
        <is>
          <t xml:space="preserve">PARKIN CO PJSC COMMON STOCK </t>
        </is>
      </c>
      <c r="C56" s="18" t="n">
        <v>231278.68</v>
      </c>
      <c r="D56" s="19">
        <f>C56/$C$117</f>
        <v/>
      </c>
      <c r="E56" s="20" t="inlineStr">
        <is>
          <t>BRRGQF6</t>
        </is>
      </c>
    </row>
    <row r="57">
      <c r="A57" s="41" t="n">
        <v>23094</v>
      </c>
      <c r="B57" s="2" t="inlineStr">
        <is>
          <t xml:space="preserve">BIDVEST GROUP LTD COMMON STOCK </t>
        </is>
      </c>
      <c r="C57" s="18" t="n">
        <v>229613.23</v>
      </c>
      <c r="D57" s="19">
        <f>C57/$C$117</f>
        <v/>
      </c>
      <c r="E57" s="20" t="inlineStr">
        <is>
          <t>6100089</t>
        </is>
      </c>
    </row>
    <row r="58">
      <c r="A58" s="41" t="n">
        <v>1247</v>
      </c>
      <c r="B58" s="2" t="inlineStr">
        <is>
          <t xml:space="preserve">ELM CO COMMON STOCK </t>
        </is>
      </c>
      <c r="C58" s="18" t="n">
        <v>228473.48</v>
      </c>
      <c r="D58" s="19">
        <f>C58/$C$117</f>
        <v/>
      </c>
      <c r="E58" s="20" t="inlineStr">
        <is>
          <t>BNYDSH8</t>
        </is>
      </c>
    </row>
    <row r="59">
      <c r="A59" s="41" t="n">
        <v>89314</v>
      </c>
      <c r="B59" s="2" t="inlineStr">
        <is>
          <t xml:space="preserve">ADES HOLDING CO COMMON STOCK </t>
        </is>
      </c>
      <c r="C59" s="18" t="n">
        <v>226702.71</v>
      </c>
      <c r="D59" s="19">
        <f>C59/$C$117</f>
        <v/>
      </c>
      <c r="E59" s="20" t="inlineStr">
        <is>
          <t>BR56KM3</t>
        </is>
      </c>
    </row>
    <row r="60">
      <c r="A60" s="41" t="n">
        <v>127144</v>
      </c>
      <c r="B60" s="2" t="inlineStr">
        <is>
          <t>FORD OTOMOTIV SANAYI AS COMMON STOCK</t>
        </is>
      </c>
      <c r="C60" s="18" t="n">
        <v>225205.39</v>
      </c>
      <c r="D60" s="19">
        <f>C60/$C$117</f>
        <v/>
      </c>
      <c r="E60" s="20" t="inlineStr">
        <is>
          <t>B03MSR5</t>
        </is>
      </c>
    </row>
    <row r="61">
      <c r="A61" s="41" t="n">
        <v>6433</v>
      </c>
      <c r="B61" s="2" t="inlineStr">
        <is>
          <t xml:space="preserve">VALTERRA PLATINUM LTD COMMON STOCK </t>
        </is>
      </c>
      <c r="C61" s="18" t="n">
        <v>220850.55</v>
      </c>
      <c r="D61" s="19">
        <f>C61/$C$117</f>
        <v/>
      </c>
      <c r="E61" s="20" t="inlineStr">
        <is>
          <t>6761000</t>
        </is>
      </c>
    </row>
    <row r="62">
      <c r="A62" s="41" t="n">
        <v>6520</v>
      </c>
      <c r="B62" s="2" t="inlineStr">
        <is>
          <t xml:space="preserve">BUPA ARABIA FOR COOPERATIVE INSURANCE CO COMMON STOCK </t>
        </is>
      </c>
      <c r="C62" s="18" t="n">
        <v>220265.91</v>
      </c>
      <c r="D62" s="19">
        <f>C62/$C$117</f>
        <v/>
      </c>
      <c r="E62" s="20" t="inlineStr">
        <is>
          <t>B2RLCR0</t>
        </is>
      </c>
    </row>
    <row r="63">
      <c r="A63" s="41" t="n">
        <v>1238</v>
      </c>
      <c r="B63" s="2" t="inlineStr">
        <is>
          <t xml:space="preserve">GRUPA KETY SA COMMON STOCK </t>
        </is>
      </c>
      <c r="C63" s="18" t="n">
        <v>218969.2</v>
      </c>
      <c r="D63" s="19">
        <f>C63/$C$117</f>
        <v/>
      </c>
      <c r="E63" s="20" t="inlineStr">
        <is>
          <t>5216385</t>
        </is>
      </c>
    </row>
    <row r="64">
      <c r="A64" s="41" t="n">
        <v>8860909</v>
      </c>
      <c r="B64" s="2" t="inlineStr">
        <is>
          <t>GAZPROM PJSC COMMON STOCK</t>
        </is>
      </c>
      <c r="C64" s="18" t="n">
        <v>192831.49</v>
      </c>
      <c r="D64" s="19">
        <f>C64/$C$117</f>
        <v/>
      </c>
      <c r="E64" s="20" t="inlineStr">
        <is>
          <t>X8C529A</t>
        </is>
      </c>
    </row>
    <row r="65">
      <c r="A65" s="41" t="n">
        <v>5365084</v>
      </c>
      <c r="B65" s="2" t="inlineStr">
        <is>
          <t>GAZPROM PJSC ADR</t>
        </is>
      </c>
      <c r="C65" s="18" t="n">
        <v>23570.94</v>
      </c>
      <c r="D65" s="19">
        <f>C65/$C$117</f>
        <v/>
      </c>
      <c r="E65" s="20" t="inlineStr">
        <is>
          <t>X84C976</t>
        </is>
      </c>
    </row>
    <row r="66">
      <c r="A66" s="28" t="n"/>
      <c r="B66" s="27" t="inlineStr">
        <is>
          <t>Subtotal</t>
        </is>
      </c>
      <c r="C66" s="29">
        <f>+C65+C64</f>
        <v/>
      </c>
      <c r="D66" s="31">
        <f>C66/$C$120</f>
        <v/>
      </c>
      <c r="E66" s="38" t="n"/>
    </row>
    <row r="67">
      <c r="A67" s="41" t="n">
        <v>32435</v>
      </c>
      <c r="B67" s="2" t="inlineStr">
        <is>
          <t>MOL HUNGARIAN OIL &amp; GAS PLC COMMON STOCK</t>
        </is>
      </c>
      <c r="C67" s="18" t="n">
        <v>212798.69</v>
      </c>
      <c r="D67" s="19">
        <f>C67/$C$117</f>
        <v/>
      </c>
      <c r="E67" s="20" t="inlineStr">
        <is>
          <t>BD5ZXH8</t>
        </is>
      </c>
    </row>
    <row r="68">
      <c r="A68" s="41" t="n">
        <v>169475</v>
      </c>
      <c r="B68" s="2" t="inlineStr">
        <is>
          <t xml:space="preserve">ADNOC DRILLING CO PJSC COMMON STOCK </t>
        </is>
      </c>
      <c r="C68" s="18" t="n">
        <v>203266.93</v>
      </c>
      <c r="D68" s="19">
        <f>C68/$C$117</f>
        <v/>
      </c>
      <c r="E68" s="20" t="inlineStr">
        <is>
          <t>BN12D39</t>
        </is>
      </c>
    </row>
    <row r="69">
      <c r="A69" s="41" t="n">
        <v>14455036</v>
      </c>
      <c r="B69" s="2" t="inlineStr">
        <is>
          <t>SBERBANK OF RUSSIA PJSC PREFERENCE</t>
        </is>
      </c>
      <c r="C69" s="18" t="n">
        <v>173530.77</v>
      </c>
      <c r="D69" s="19">
        <f>C69/$C$117</f>
        <v/>
      </c>
      <c r="E69" s="20" t="inlineStr">
        <is>
          <t>X8C6155</t>
        </is>
      </c>
    </row>
    <row r="70">
      <c r="A70" s="41" t="n">
        <v>2355925</v>
      </c>
      <c r="B70" s="2" t="inlineStr">
        <is>
          <t>SBERBANK OF RUSSIA PJSC</t>
        </is>
      </c>
      <c r="C70" s="18" t="n">
        <v>28078.16</v>
      </c>
      <c r="D70" s="19">
        <f>C70/$C$117</f>
        <v/>
      </c>
      <c r="E70" s="20" t="inlineStr">
        <is>
          <t>X8C6398</t>
        </is>
      </c>
    </row>
    <row r="71">
      <c r="A71" s="41" t="n"/>
      <c r="B71" s="27" t="inlineStr">
        <is>
          <t>Subtotal</t>
        </is>
      </c>
      <c r="C71" s="29">
        <f>+C70+C69</f>
        <v/>
      </c>
      <c r="D71" s="31">
        <f>C71/$C$120</f>
        <v/>
      </c>
      <c r="E71" s="38" t="n"/>
    </row>
    <row r="72">
      <c r="A72" s="41" t="n">
        <v>20472</v>
      </c>
      <c r="B72" s="2" t="inlineStr">
        <is>
          <t xml:space="preserve">SAUDI GROUND SERVICES CO COMMON STOCK </t>
        </is>
      </c>
      <c r="C72" s="18" t="n">
        <v>200842.61</v>
      </c>
      <c r="D72" s="19">
        <f>C72/$C$117</f>
        <v/>
      </c>
      <c r="E72" s="20" t="inlineStr">
        <is>
          <t>BYYTJ69</t>
        </is>
      </c>
    </row>
    <row r="73">
      <c r="A73" s="41" t="n">
        <v>196322</v>
      </c>
      <c r="B73" s="2" t="inlineStr">
        <is>
          <t xml:space="preserve">QATAR GAS TRANSPORT CO LTD COMMON STOCK </t>
        </is>
      </c>
      <c r="C73" s="18" t="n">
        <v>195983.11</v>
      </c>
      <c r="D73" s="19">
        <f>C73/$C$117</f>
        <v/>
      </c>
      <c r="E73" s="20" t="inlineStr">
        <is>
          <t>B0MLBC9</t>
        </is>
      </c>
    </row>
    <row r="74">
      <c r="A74" s="41" t="n">
        <v>8660</v>
      </c>
      <c r="B74" s="2" t="inlineStr">
        <is>
          <t xml:space="preserve">RAIFFEISEN BANK INTERNATIONAL AG COMMON STOCK </t>
        </is>
      </c>
      <c r="C74" s="18" t="n">
        <v>190244.3</v>
      </c>
      <c r="D74" s="19">
        <f>C74/$C$117</f>
        <v/>
      </c>
      <c r="E74" s="20" t="inlineStr">
        <is>
          <t>B0704T9</t>
        </is>
      </c>
    </row>
    <row r="75">
      <c r="A75" s="41" t="n">
        <v>13207</v>
      </c>
      <c r="B75" s="2" t="inlineStr">
        <is>
          <t xml:space="preserve">UNITED INTERNATIONAL TRANSPORTATION CO COMMON STOCK </t>
        </is>
      </c>
      <c r="C75" s="18" t="n">
        <v>186238.24</v>
      </c>
      <c r="D75" s="19">
        <f>C75/$C$117</f>
        <v/>
      </c>
      <c r="E75" s="20" t="inlineStr">
        <is>
          <t>B2493D0</t>
        </is>
      </c>
    </row>
    <row r="76">
      <c r="A76" s="41" t="n">
        <v>21418</v>
      </c>
      <c r="B76" s="2" t="inlineStr">
        <is>
          <t xml:space="preserve">ATHENS INTERNATIONAL AIRPORT SA COMMON STOCK </t>
        </is>
      </c>
      <c r="C76" s="18" t="n">
        <v>185241.79</v>
      </c>
      <c r="D76" s="19">
        <f>C76/$C$117</f>
        <v/>
      </c>
      <c r="E76" s="20" t="inlineStr">
        <is>
          <t>BPYS8N3</t>
        </is>
      </c>
    </row>
    <row r="77">
      <c r="A77" s="41" t="n">
        <v>192692</v>
      </c>
      <c r="B77" s="2" t="inlineStr">
        <is>
          <t xml:space="preserve">ADNOC LOGISTICS &amp; SERVICES COMMON STOCK </t>
        </is>
      </c>
      <c r="C77" s="18" t="n">
        <v>184732</v>
      </c>
      <c r="D77" s="19">
        <f>C77/$C$117</f>
        <v/>
      </c>
      <c r="E77" s="20" t="inlineStr">
        <is>
          <t>BRBN103</t>
        </is>
      </c>
    </row>
    <row r="78">
      <c r="A78" s="41" t="n">
        <v>41881</v>
      </c>
      <c r="B78" s="2" t="inlineStr">
        <is>
          <t xml:space="preserve">ARAB NATIONAL BANK COMMON STOCK </t>
        </is>
      </c>
      <c r="C78" s="18" t="n">
        <v>183418.53</v>
      </c>
      <c r="D78" s="19">
        <f>C78/$C$117</f>
        <v/>
      </c>
      <c r="E78" s="20" t="inlineStr">
        <is>
          <t>B12LZK2</t>
        </is>
      </c>
    </row>
    <row r="79">
      <c r="A79" s="41" t="n">
        <v>6262</v>
      </c>
      <c r="B79" s="2" t="inlineStr">
        <is>
          <t xml:space="preserve">LEEJAM SPORTS CO JSC COMMON STOCK </t>
        </is>
      </c>
      <c r="C79" s="18" t="n">
        <v>179256.03</v>
      </c>
      <c r="D79" s="19">
        <f>C79/$C$117</f>
        <v/>
      </c>
      <c r="E79" s="20" t="inlineStr">
        <is>
          <t>BF12ZV5</t>
        </is>
      </c>
    </row>
    <row r="80">
      <c r="A80" s="41" t="n">
        <v>27398</v>
      </c>
      <c r="B80" s="2" t="inlineStr">
        <is>
          <t xml:space="preserve">SAUDI AWWAL BANK COMMON STOCK </t>
        </is>
      </c>
      <c r="C80" s="18" t="n">
        <v>178494.78</v>
      </c>
      <c r="D80" s="19">
        <f>C80/$C$117</f>
        <v/>
      </c>
      <c r="E80" s="20" t="inlineStr">
        <is>
          <t>B12LSY7</t>
        </is>
      </c>
    </row>
    <row r="81">
      <c r="A81" s="41" t="n">
        <v>44675</v>
      </c>
      <c r="B81" s="2" t="inlineStr">
        <is>
          <t xml:space="preserve">AVI LTD COMMON STOCK </t>
        </is>
      </c>
      <c r="C81" s="18" t="n">
        <v>175306.07</v>
      </c>
      <c r="D81" s="19">
        <f>C81/$C$117</f>
        <v/>
      </c>
      <c r="E81" s="20" t="inlineStr">
        <is>
          <t>6040958</t>
        </is>
      </c>
    </row>
    <row r="82">
      <c r="A82" s="41" t="n">
        <v>6569</v>
      </c>
      <c r="B82" s="2" t="inlineStr">
        <is>
          <t xml:space="preserve">ALKHORAYEF WATER &amp; POWER TECHNOLOGIES CO COMMON STOCK </t>
        </is>
      </c>
      <c r="C82" s="18" t="n">
        <v>171238.01</v>
      </c>
      <c r="D82" s="19">
        <f>C82/$C$117</f>
        <v/>
      </c>
      <c r="E82" s="20" t="inlineStr">
        <is>
          <t>BN33QN1</t>
        </is>
      </c>
    </row>
    <row r="83">
      <c r="A83" s="41" t="n">
        <v>6309</v>
      </c>
      <c r="B83" s="2" t="inlineStr">
        <is>
          <t xml:space="preserve">RIYADH CABLES GROUP CO COMMON STOCK </t>
        </is>
      </c>
      <c r="C83" s="18" t="n">
        <v>166112.67</v>
      </c>
      <c r="D83" s="19">
        <f>C83/$C$117</f>
        <v/>
      </c>
      <c r="E83" s="20" t="inlineStr">
        <is>
          <t>BNBPXW7</t>
        </is>
      </c>
    </row>
    <row r="84">
      <c r="A84" s="41" t="n">
        <v>6082</v>
      </c>
      <c r="B84" s="2" t="inlineStr">
        <is>
          <t xml:space="preserve">CO FOR COOPERATIVE INSURANCE/THE COMMON STOCK </t>
        </is>
      </c>
      <c r="C84" s="18" t="n">
        <v>164179.09</v>
      </c>
      <c r="D84" s="19">
        <f>C84/$C$117</f>
        <v/>
      </c>
      <c r="E84" s="20" t="inlineStr">
        <is>
          <t>B128FN6</t>
        </is>
      </c>
    </row>
    <row r="85">
      <c r="A85" s="41" t="n">
        <v>1268490</v>
      </c>
      <c r="B85" s="2" t="inlineStr">
        <is>
          <t>NOVATEK PJSC COMMON STOCK</t>
        </is>
      </c>
      <c r="C85" s="18" t="n">
        <v>151859.31</v>
      </c>
      <c r="D85" s="19">
        <f>C85/$C$117</f>
        <v/>
      </c>
      <c r="E85" s="20" t="inlineStr">
        <is>
          <t>X84C972</t>
        </is>
      </c>
    </row>
    <row r="86">
      <c r="A86" s="41" t="n">
        <v>103572</v>
      </c>
      <c r="B86" s="2" t="inlineStr">
        <is>
          <t>NOVATEK PJSC COMMON STOCK</t>
        </is>
      </c>
      <c r="C86" s="18" t="n">
        <v>12017.86</v>
      </c>
      <c r="D86" s="19">
        <f>C86/$C$117</f>
        <v/>
      </c>
      <c r="E86" s="20" t="inlineStr">
        <is>
          <t>X84C970</t>
        </is>
      </c>
    </row>
    <row r="87">
      <c r="A87" s="28" t="n"/>
      <c r="B87" s="27" t="inlineStr">
        <is>
          <t>Subtotal</t>
        </is>
      </c>
      <c r="C87" s="29">
        <f>+C86+C85</f>
        <v/>
      </c>
      <c r="D87" s="31">
        <f>C87/$C$120</f>
        <v/>
      </c>
      <c r="E87" s="38" t="n"/>
    </row>
    <row r="88">
      <c r="A88" s="41" t="n">
        <v>234111</v>
      </c>
      <c r="B88" s="2" t="inlineStr">
        <is>
          <t xml:space="preserve">TECOM GROUP PJSC COMMON STOCK </t>
        </is>
      </c>
      <c r="C88" s="18" t="n">
        <v>163754.51</v>
      </c>
      <c r="D88" s="19">
        <f>C88/$C$117</f>
        <v/>
      </c>
      <c r="E88" s="20" t="inlineStr">
        <is>
          <t>BLDC8Q1</t>
        </is>
      </c>
    </row>
    <row r="89">
      <c r="A89" s="41" t="n">
        <v>1803</v>
      </c>
      <c r="B89" s="2" t="inlineStr">
        <is>
          <t xml:space="preserve">KRUK SA COMMON STOCK </t>
        </is>
      </c>
      <c r="C89" s="18" t="n">
        <v>150292.9</v>
      </c>
      <c r="D89" s="19">
        <f>C89/$C$117</f>
        <v/>
      </c>
      <c r="E89" s="20" t="inlineStr">
        <is>
          <t>B4PTLY0</t>
        </is>
      </c>
    </row>
    <row r="90">
      <c r="A90" s="41" t="n">
        <v>6134</v>
      </c>
      <c r="B90" s="2" t="inlineStr">
        <is>
          <t xml:space="preserve">ALDREES PETROLEUM AND TRANSPORT SERVICES CO COMMON STOCK </t>
        </is>
      </c>
      <c r="C90" s="18" t="n">
        <v>147541.68</v>
      </c>
      <c r="D90" s="19">
        <f>C90/$C$117</f>
        <v/>
      </c>
      <c r="E90" s="20" t="inlineStr">
        <is>
          <t>B128FF8</t>
        </is>
      </c>
    </row>
    <row r="91">
      <c r="A91" s="41" t="n">
        <v>7008</v>
      </c>
      <c r="B91" s="2" t="inlineStr">
        <is>
          <t xml:space="preserve">SAUDI ARAMCO BASE OIL CO COMMON STOCK </t>
        </is>
      </c>
      <c r="C91" s="18" t="n">
        <v>146822.99</v>
      </c>
      <c r="D91" s="19">
        <f>C91/$C$117</f>
        <v/>
      </c>
      <c r="E91" s="20" t="inlineStr">
        <is>
          <t>BMDKMB5</t>
        </is>
      </c>
    </row>
    <row r="92">
      <c r="A92" s="41" t="n">
        <v>53407</v>
      </c>
      <c r="B92" s="2" t="inlineStr">
        <is>
          <t>TURKIYE GARANTI BANKASI AS COMMON STOCK</t>
        </is>
      </c>
      <c r="C92" s="18" t="n">
        <v>141971.29</v>
      </c>
      <c r="D92" s="19">
        <f>C92/$C$117</f>
        <v/>
      </c>
      <c r="E92" s="20" t="inlineStr">
        <is>
          <t>B03MYP5</t>
        </is>
      </c>
    </row>
    <row r="93">
      <c r="A93" s="41" t="n">
        <v>7795</v>
      </c>
      <c r="B93" s="2" t="inlineStr">
        <is>
          <t xml:space="preserve">UNITED ELECTRONICS CO COMMON STOCK </t>
        </is>
      </c>
      <c r="C93" s="18" t="n">
        <v>140070.8</v>
      </c>
      <c r="D93" s="19">
        <f>C93/$C$117</f>
        <v/>
      </c>
      <c r="E93" s="20" t="inlineStr">
        <is>
          <t>B4P2SD7</t>
        </is>
      </c>
    </row>
    <row r="94">
      <c r="A94" s="41" t="n">
        <v>2568</v>
      </c>
      <c r="B94" s="2" t="inlineStr">
        <is>
          <t xml:space="preserve">SAUDIA DAIRY &amp; FOODSTUFF CO COMMON STOCK </t>
        </is>
      </c>
      <c r="C94" s="18" t="n">
        <v>135538.58</v>
      </c>
      <c r="D94" s="19">
        <f>C94/$C$117</f>
        <v/>
      </c>
      <c r="E94" s="20" t="inlineStr">
        <is>
          <t>B133P41</t>
        </is>
      </c>
    </row>
    <row r="95">
      <c r="A95" s="41" t="n">
        <v>7119200</v>
      </c>
      <c r="B95" s="2" t="inlineStr">
        <is>
          <t>MMC NORILSK NICKEL PJSC COMMON STOCK</t>
        </is>
      </c>
      <c r="C95" s="18" t="n">
        <v>129850.64</v>
      </c>
      <c r="D95" s="19">
        <f>C95/$C$117</f>
        <v/>
      </c>
      <c r="E95" s="20" t="inlineStr">
        <is>
          <t>X84C977</t>
        </is>
      </c>
    </row>
    <row r="96">
      <c r="A96" s="41" t="n">
        <v>6774</v>
      </c>
      <c r="B96" s="2" t="inlineStr">
        <is>
          <t xml:space="preserve">JERONIMO MARTINS SGPS SA COMMON STOCK </t>
        </is>
      </c>
      <c r="C96" s="18" t="n">
        <v>125377.33</v>
      </c>
      <c r="D96" s="19">
        <f>C96/$C$117</f>
        <v/>
      </c>
      <c r="E96" s="20" t="inlineStr">
        <is>
          <t>B1Y1SQ7</t>
        </is>
      </c>
    </row>
    <row r="97">
      <c r="A97" s="41" t="n">
        <v>2041744</v>
      </c>
      <c r="B97" s="2" t="inlineStr">
        <is>
          <t>ROSNEFT OIL CO PJSC COMMON STOCK</t>
        </is>
      </c>
      <c r="C97" s="18" t="n">
        <v>57431.31</v>
      </c>
      <c r="D97" s="19">
        <f>C97/$C$117</f>
        <v/>
      </c>
      <c r="E97" s="20" t="inlineStr">
        <is>
          <t>X84C971</t>
        </is>
      </c>
    </row>
    <row r="98">
      <c r="A98" s="41" t="n">
        <v>1677948</v>
      </c>
      <c r="B98" s="2" t="inlineStr">
        <is>
          <t>ROSNEFT OIL CO PJSC COMMON STOCK</t>
        </is>
      </c>
      <c r="C98" s="18" t="n">
        <v>48755.32</v>
      </c>
      <c r="D98" s="19">
        <f>C98/$C$117</f>
        <v/>
      </c>
      <c r="E98" s="20" t="inlineStr">
        <is>
          <t>X84D1F9</t>
        </is>
      </c>
    </row>
    <row r="99">
      <c r="A99" s="28" t="n"/>
      <c r="B99" s="27" t="inlineStr">
        <is>
          <t>Subtotal</t>
        </is>
      </c>
      <c r="C99" s="29">
        <f>+C98+C97</f>
        <v/>
      </c>
      <c r="D99" s="31">
        <f>C99/$C$120</f>
        <v/>
      </c>
      <c r="E99" s="38" t="n"/>
    </row>
    <row r="100">
      <c r="A100" s="41" t="n">
        <v>3657350</v>
      </c>
      <c r="B100" s="2" t="inlineStr">
        <is>
          <t>NOVOLIPETSK STEEL PJSC COMMON STOCK</t>
        </is>
      </c>
      <c r="C100" s="18" t="n">
        <v>64693.49</v>
      </c>
      <c r="D100" s="19">
        <f>C100/$C$117</f>
        <v/>
      </c>
      <c r="E100" s="20" t="inlineStr">
        <is>
          <t>X84C97E</t>
        </is>
      </c>
    </row>
    <row r="101">
      <c r="A101" s="41" t="n">
        <v>180877</v>
      </c>
      <c r="B101" s="2" t="inlineStr">
        <is>
          <t>MAGNIT PJSC COMMON STOCK</t>
        </is>
      </c>
      <c r="C101" s="18" t="n">
        <v>51208.46</v>
      </c>
      <c r="D101" s="19">
        <f>C101/$C$117</f>
        <v/>
      </c>
      <c r="E101" s="20" t="inlineStr">
        <is>
          <t>X8C505A</t>
        </is>
      </c>
    </row>
    <row r="102">
      <c r="A102" s="41" t="n">
        <v>1265335</v>
      </c>
      <c r="B102" s="2" t="inlineStr">
        <is>
          <t>GAZPROM NEFT PJSC COMMON STOCK</t>
        </is>
      </c>
      <c r="C102" s="18" t="n">
        <v>46275.44</v>
      </c>
      <c r="D102" s="19">
        <f>C102/$C$117</f>
        <v/>
      </c>
      <c r="E102" s="20" t="inlineStr">
        <is>
          <t>X84D1F6</t>
        </is>
      </c>
    </row>
    <row r="103">
      <c r="A103" s="41" t="n">
        <v>730066</v>
      </c>
      <c r="B103" s="2" t="inlineStr">
        <is>
          <t>TATNEFT PJSC COMMON STOCK</t>
        </is>
      </c>
      <c r="C103" s="18" t="n">
        <v>25026.53</v>
      </c>
      <c r="D103" s="19">
        <f>C103/$C$117</f>
        <v/>
      </c>
      <c r="E103" s="20" t="inlineStr">
        <is>
          <t>X84C973</t>
        </is>
      </c>
    </row>
    <row r="104">
      <c r="A104" s="41" t="n">
        <v>571359</v>
      </c>
      <c r="B104" s="2" t="inlineStr">
        <is>
          <t>TATNEFT PJSC PREFERENCE</t>
        </is>
      </c>
      <c r="C104" s="18" t="n">
        <v>17344.86</v>
      </c>
      <c r="D104" s="19">
        <f>C104/$C$117</f>
        <v/>
      </c>
      <c r="E104" s="20" t="inlineStr">
        <is>
          <t>X8C6150</t>
        </is>
      </c>
    </row>
    <row r="105">
      <c r="A105" s="28" t="n"/>
      <c r="B105" s="27" t="inlineStr">
        <is>
          <t>Subtotal</t>
        </is>
      </c>
      <c r="C105" s="29">
        <f>+C104+C103</f>
        <v/>
      </c>
      <c r="D105" s="31">
        <f>C105/$C$120</f>
        <v/>
      </c>
      <c r="E105" s="38" t="n"/>
    </row>
    <row r="106">
      <c r="A106" s="41" t="n">
        <v>6156103</v>
      </c>
      <c r="B106" s="2" t="inlineStr">
        <is>
          <t>ROSTELECOM PJSC COMMON STOCK</t>
        </is>
      </c>
      <c r="C106" s="18" t="n">
        <v>39917.28</v>
      </c>
      <c r="D106" s="19">
        <f>C106/$C$117</f>
        <v/>
      </c>
      <c r="E106" s="20" t="inlineStr">
        <is>
          <t>X84C978</t>
        </is>
      </c>
    </row>
    <row r="107">
      <c r="A107" s="41" t="n">
        <v>4246654</v>
      </c>
      <c r="B107" s="2" t="inlineStr">
        <is>
          <t>VTB BANK PJSC COMMON STOCK</t>
        </is>
      </c>
      <c r="C107" s="18" t="n">
        <v>38829.12</v>
      </c>
      <c r="D107" s="19">
        <f>C107/$C$117</f>
        <v/>
      </c>
      <c r="E107" s="20" t="inlineStr">
        <is>
          <t>X8C6392</t>
        </is>
      </c>
    </row>
    <row r="108">
      <c r="A108" s="41" t="n">
        <v>297730</v>
      </c>
      <c r="B108" s="2" t="inlineStr">
        <is>
          <t>POLYUS PJSC COMMON STOCK</t>
        </is>
      </c>
      <c r="C108" s="18" t="n">
        <v>31244.7</v>
      </c>
      <c r="D108" s="19">
        <f>C108/$C$117</f>
        <v/>
      </c>
      <c r="E108" s="20" t="inlineStr">
        <is>
          <t>X84D1F8</t>
        </is>
      </c>
    </row>
    <row r="109">
      <c r="A109" s="41" t="n">
        <v>432517</v>
      </c>
      <c r="B109" s="2" t="inlineStr">
        <is>
          <t>MD MEDICAL GROUP INVESTMENTS PLC GDR</t>
        </is>
      </c>
      <c r="C109" s="18" t="n">
        <v>18629.59</v>
      </c>
      <c r="D109" s="19">
        <f>C109/$C$117</f>
        <v/>
      </c>
      <c r="E109" s="20" t="inlineStr">
        <is>
          <t>X8C6397</t>
        </is>
      </c>
    </row>
    <row r="110">
      <c r="A110" s="41" t="n">
        <v>12313057</v>
      </c>
      <c r="B110" s="2" t="inlineStr">
        <is>
          <t>SISTEMA PJSFC COMMON STOCK</t>
        </is>
      </c>
      <c r="C110" s="18" t="n">
        <v>14002.37</v>
      </c>
      <c r="D110" s="19">
        <f>C110/$C$117</f>
        <v/>
      </c>
      <c r="E110" s="20" t="inlineStr">
        <is>
          <t>X84D1F7</t>
        </is>
      </c>
    </row>
    <row r="111">
      <c r="A111" s="41" t="n">
        <v>577525</v>
      </c>
      <c r="B111" s="2" t="inlineStr">
        <is>
          <t>FIX PRICE GROUP LTD GDR</t>
        </is>
      </c>
      <c r="C111" s="18" t="n">
        <v>4102.27</v>
      </c>
      <c r="D111" s="19">
        <f>C111/$C$117</f>
        <v/>
      </c>
      <c r="E111" s="20" t="inlineStr">
        <is>
          <t>X84CF24</t>
        </is>
      </c>
    </row>
    <row r="112">
      <c r="A112" s="41" t="n">
        <v>75226</v>
      </c>
      <c r="B112" s="2" t="inlineStr">
        <is>
          <t>TCS GROUP HOLDING PLC GDR</t>
        </is>
      </c>
      <c r="C112" s="18" t="n">
        <v>1815.07</v>
      </c>
      <c r="D112" s="19">
        <f>C112/$C$117</f>
        <v/>
      </c>
      <c r="E112" s="20" t="inlineStr">
        <is>
          <t>X8C4FD3</t>
        </is>
      </c>
    </row>
    <row r="113">
      <c r="A113" s="41" t="n">
        <v>275182</v>
      </c>
      <c r="B113" s="2" t="inlineStr">
        <is>
          <t>X 5 RETAIL GROUP NV-REGS GDR</t>
        </is>
      </c>
      <c r="C113" s="18" t="n">
        <v>1105.01</v>
      </c>
      <c r="D113" s="19">
        <f>C113/$C$117</f>
        <v/>
      </c>
      <c r="E113" s="20" t="inlineStr">
        <is>
          <t>X8C4FD9</t>
        </is>
      </c>
    </row>
    <row r="114">
      <c r="A114" s="41" t="n">
        <v>1011.54</v>
      </c>
      <c r="B114" s="45" t="inlineStr">
        <is>
          <t>JPM USD LIQUIDITY LVNAV X (DIST.)</t>
        </is>
      </c>
      <c r="C114" s="18" t="n">
        <v>764.38</v>
      </c>
      <c r="D114" s="19">
        <f>C114/$C$117</f>
        <v/>
      </c>
      <c r="E114" s="20" t="inlineStr">
        <is>
          <t>7253766</t>
        </is>
      </c>
    </row>
    <row r="115">
      <c r="A115" s="41" t="n">
        <v>552780</v>
      </c>
      <c r="B115" s="2" t="inlineStr">
        <is>
          <t>SEVERSTAL PAO GDR</t>
        </is>
      </c>
      <c r="C115" s="18" t="n">
        <v>251.04</v>
      </c>
      <c r="D115" s="19">
        <f>C115/$C$117</f>
        <v/>
      </c>
      <c r="E115" s="20" t="inlineStr">
        <is>
          <t>X84C975</t>
        </is>
      </c>
    </row>
    <row r="116">
      <c r="A116" s="28" t="n"/>
      <c r="B116" s="2" t="n"/>
      <c r="C116" s="18" t="n"/>
      <c r="D116" s="19" t="n"/>
      <c r="E116" s="38" t="n"/>
    </row>
    <row r="117">
      <c r="A117" s="28" t="n"/>
      <c r="B117" s="21" t="inlineStr">
        <is>
          <t>Total portfolio</t>
        </is>
      </c>
      <c r="C117" s="39">
        <f>SUM(C12:C41)+SUM(C43:C65)+SUM(C67:C70)+SUM(C72:C86)+SUM(C88:C98)+SUM(C100:C104)+SUM(C106:C115)</f>
        <v/>
      </c>
      <c r="D117" s="19">
        <f>C117/$C$120</f>
        <v/>
      </c>
      <c r="E117" s="20" t="n"/>
    </row>
    <row r="118">
      <c r="A118" s="28" t="n"/>
      <c r="B118" s="21" t="inlineStr">
        <is>
          <t>Net Current Assets</t>
        </is>
      </c>
      <c r="C118" s="39" t="n">
        <v>567074.26</v>
      </c>
      <c r="D118" s="19">
        <f>C118/$C$120</f>
        <v/>
      </c>
      <c r="E118" s="20" t="n"/>
    </row>
    <row r="119">
      <c r="A119" s="28" t="n"/>
      <c r="B119" s="21" t="n"/>
      <c r="C119" s="39" t="n"/>
      <c r="D119" s="32" t="n"/>
      <c r="E119" s="20" t="n"/>
    </row>
    <row r="120">
      <c r="A120" s="17" t="n"/>
      <c r="B120" s="21" t="inlineStr">
        <is>
          <t>Total Assets</t>
        </is>
      </c>
      <c r="C120" s="22">
        <f>C117+C118</f>
        <v/>
      </c>
      <c r="D120" s="19">
        <f>C120/$C$120</f>
        <v/>
      </c>
      <c r="E120" s="3" t="n"/>
    </row>
    <row r="121">
      <c r="A12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2"/>
    <row r="123"/>
    <row r="124"/>
  </sheetData>
  <mergeCells count="2">
    <mergeCell ref="A121:E124"/>
    <mergeCell ref="A3:E6"/>
  </mergeCells>
  <conditionalFormatting sqref="B12:B116">
    <cfRule type="containsText" priority="1" operator="containsText" dxfId="0" text="LIQUIDITY">
      <formula>NOT(ISERROR(SEARCH("LIQUIDITY",B12)))</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23"/>
  <sheetViews>
    <sheetView topLeftCell="A97" workbookViewId="0">
      <selection activeCell="B117" sqref="B117"/>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ht="36.75" customHeight="1" s="42">
      <c r="A6" s="65" t="n"/>
      <c r="B6" s="66" t="n"/>
      <c r="C6" s="66" t="n"/>
      <c r="D6" s="66" t="n"/>
      <c r="E6" s="67" t="n"/>
    </row>
    <row r="7">
      <c r="A7" s="5" t="n"/>
      <c r="B7" s="5" t="n"/>
      <c r="C7" s="3" t="n"/>
      <c r="D7" s="3" t="n"/>
      <c r="E7" s="3" t="n"/>
    </row>
    <row r="8">
      <c r="A8" s="4" t="inlineStr">
        <is>
          <t>Full portfolio listing as at close of business 30th June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54131</v>
      </c>
      <c r="B12" s="2" t="inlineStr">
        <is>
          <t xml:space="preserve">AL RAJHI BANK COMMON STOCK </t>
        </is>
      </c>
      <c r="C12" s="18" t="n">
        <v>996360.51</v>
      </c>
      <c r="D12" s="19">
        <f>C12/$C$116</f>
        <v/>
      </c>
      <c r="E12" s="20" t="inlineStr">
        <is>
          <t>B12LZH9</t>
        </is>
      </c>
    </row>
    <row r="13">
      <c r="A13" s="41" t="n">
        <v>91310</v>
      </c>
      <c r="B13" s="2" t="inlineStr">
        <is>
          <t>THE SAUDI NATIONAL BANK</t>
        </is>
      </c>
      <c r="C13" s="18" t="n">
        <v>641364.42</v>
      </c>
      <c r="D13" s="19">
        <f>C13/$C$116</f>
        <v/>
      </c>
      <c r="E13" s="20" t="inlineStr">
        <is>
          <t>BSHYYN1</t>
        </is>
      </c>
    </row>
    <row r="14">
      <c r="A14" s="41" t="n">
        <v>173053</v>
      </c>
      <c r="B14" s="2" t="inlineStr">
        <is>
          <t xml:space="preserve">QATAR NATIONAL BANK QPSC COMMON STOCK </t>
        </is>
      </c>
      <c r="C14" s="18" t="n">
        <v>601764.3100000001</v>
      </c>
      <c r="D14" s="19">
        <f>C14/$C$116</f>
        <v/>
      </c>
      <c r="E14" s="20" t="inlineStr">
        <is>
          <t>6148197</t>
        </is>
      </c>
    </row>
    <row r="15">
      <c r="A15" s="41" t="n">
        <v>33759</v>
      </c>
      <c r="B15" s="2" t="inlineStr">
        <is>
          <t xml:space="preserve">GOLD FIELDS LTD COMMON STOCK </t>
        </is>
      </c>
      <c r="C15" s="18" t="n">
        <v>576373.0699999999</v>
      </c>
      <c r="D15" s="19">
        <f>C15/$C$116</f>
        <v/>
      </c>
      <c r="E15" s="20" t="inlineStr">
        <is>
          <t>6280215</t>
        </is>
      </c>
    </row>
    <row r="16">
      <c r="A16" s="41" t="n">
        <v>201080</v>
      </c>
      <c r="B16" s="2" t="inlineStr">
        <is>
          <t xml:space="preserve">EMAAR PROPERTIES PJSC COMMON STOCK </t>
        </is>
      </c>
      <c r="C16" s="18" t="n">
        <v>541344.1800000001</v>
      </c>
      <c r="D16" s="19">
        <f>C16/$C$116</f>
        <v/>
      </c>
      <c r="E16" s="20" t="inlineStr">
        <is>
          <t>B01RM25</t>
        </is>
      </c>
    </row>
    <row r="17">
      <c r="A17" s="41" t="n">
        <v>2386</v>
      </c>
      <c r="B17" s="2" t="inlineStr">
        <is>
          <t xml:space="preserve">NASPERS LTD COMMON STOCK </t>
        </is>
      </c>
      <c r="C17" s="18" t="n">
        <v>540376.4300000001</v>
      </c>
      <c r="D17" s="19">
        <f>C17/$C$116</f>
        <v/>
      </c>
      <c r="E17" s="20" t="inlineStr">
        <is>
          <t>BN0VX82</t>
        </is>
      </c>
    </row>
    <row r="18">
      <c r="A18" s="41" t="n">
        <v>56252</v>
      </c>
      <c r="B18" s="2" t="inlineStr">
        <is>
          <t xml:space="preserve">STANDARD BANK GROUP LTD COMMON STOCK </t>
        </is>
      </c>
      <c r="C18" s="18" t="n">
        <v>525565.86</v>
      </c>
      <c r="D18" s="19">
        <f>C18/$C$116</f>
        <v/>
      </c>
      <c r="E18" s="20" t="inlineStr">
        <is>
          <t>B030GJ7</t>
        </is>
      </c>
    </row>
    <row r="19">
      <c r="A19" s="41" t="n">
        <v>161352</v>
      </c>
      <c r="B19" s="2" t="inlineStr">
        <is>
          <t xml:space="preserve">FIRSTRAND LTD COMMON STOCK </t>
        </is>
      </c>
      <c r="C19" s="18" t="n">
        <v>501491.27</v>
      </c>
      <c r="D19" s="19">
        <f>C19/$C$116</f>
        <v/>
      </c>
      <c r="E19" s="20" t="inlineStr">
        <is>
          <t>6606996</t>
        </is>
      </c>
    </row>
    <row r="20">
      <c r="A20" s="41" t="n">
        <v>117334</v>
      </c>
      <c r="B20" s="2" t="inlineStr">
        <is>
          <t xml:space="preserve">ABU DHABI ISLAMIC BANK PJSC COMMON STOCK </t>
        </is>
      </c>
      <c r="C20" s="18" t="n">
        <v>501219.13</v>
      </c>
      <c r="D20" s="19">
        <f>C20/$C$116</f>
        <v/>
      </c>
      <c r="E20" s="20" t="inlineStr">
        <is>
          <t>6001728</t>
        </is>
      </c>
    </row>
    <row r="21">
      <c r="A21" s="41" t="n">
        <v>28022</v>
      </c>
      <c r="B21" s="2" t="inlineStr">
        <is>
          <t xml:space="preserve">HALYK SAVINGS BANK OF KAZAKHSTAN JSC </t>
        </is>
      </c>
      <c r="C21" s="18" t="n">
        <v>500995.36</v>
      </c>
      <c r="D21" s="19">
        <f>C21/$C$116</f>
        <v/>
      </c>
      <c r="E21" s="20" t="inlineStr">
        <is>
          <t>B1KDG41</t>
        </is>
      </c>
    </row>
    <row r="22">
      <c r="A22" s="41" t="n">
        <v>7890</v>
      </c>
      <c r="B22" s="2" t="inlineStr">
        <is>
          <t>JSC KASPI.KZ GDR-REG S</t>
        </is>
      </c>
      <c r="C22" s="18" t="n">
        <v>487442.91</v>
      </c>
      <c r="D22" s="19">
        <f>C22/$C$116</f>
        <v/>
      </c>
      <c r="E22" s="20" t="inlineStr">
        <is>
          <t>BJY21K1</t>
        </is>
      </c>
    </row>
    <row r="23">
      <c r="A23" s="41" t="n">
        <v>29624</v>
      </c>
      <c r="B23" s="2" t="inlineStr">
        <is>
          <t xml:space="preserve">POWSZECHNA KASA OSZCZEDNOSCI BANK POLSKI SA COMMON STOCK </t>
        </is>
      </c>
      <c r="C23" s="18" t="n">
        <v>449854.35</v>
      </c>
      <c r="D23" s="19">
        <f>C23/$C$116</f>
        <v/>
      </c>
      <c r="E23" s="20" t="inlineStr">
        <is>
          <t>B03NGS5</t>
        </is>
      </c>
    </row>
    <row r="24">
      <c r="A24" s="41" t="n">
        <v>47421</v>
      </c>
      <c r="B24" s="2" t="inlineStr">
        <is>
          <t xml:space="preserve">NATIONAL BANK OF GREECE SA COMMON STOCK </t>
        </is>
      </c>
      <c r="C24" s="18" t="n">
        <v>439926.64</v>
      </c>
      <c r="D24" s="19">
        <f>C24/$C$116</f>
        <v/>
      </c>
      <c r="E24" s="20" t="inlineStr">
        <is>
          <t>BG087C6</t>
        </is>
      </c>
    </row>
    <row r="25">
      <c r="A25" s="41" t="n">
        <v>10827</v>
      </c>
      <c r="B25" s="2" t="inlineStr">
        <is>
          <t xml:space="preserve">METLEN ENERGY &amp; METALS SA COMMON STOCK </t>
        </is>
      </c>
      <c r="C25" s="18" t="n">
        <v>425141.83</v>
      </c>
      <c r="D25" s="19">
        <f>C25/$C$116</f>
        <v/>
      </c>
      <c r="E25" s="20" t="inlineStr">
        <is>
          <t>5898664</t>
        </is>
      </c>
    </row>
    <row r="26">
      <c r="A26" s="41" t="n">
        <v>646</v>
      </c>
      <c r="B26" s="2" t="inlineStr">
        <is>
          <t xml:space="preserve">BENEFIT SYSTEMS SA COMMON STOCK </t>
        </is>
      </c>
      <c r="C26" s="18" t="n">
        <v>412220.88</v>
      </c>
      <c r="D26" s="19">
        <f>C26/$C$116</f>
        <v/>
      </c>
      <c r="E26" s="20" t="inlineStr">
        <is>
          <t>B4XY9X2</t>
        </is>
      </c>
    </row>
    <row r="27">
      <c r="A27" s="41" t="n">
        <v>125683</v>
      </c>
      <c r="B27" s="2" t="inlineStr">
        <is>
          <t xml:space="preserve">SASOL LTD COMMON STOCK </t>
        </is>
      </c>
      <c r="C27" s="18" t="n">
        <v>406473.99</v>
      </c>
      <c r="D27" s="19">
        <f>C27/$C$116</f>
        <v/>
      </c>
      <c r="E27" s="20" t="inlineStr">
        <is>
          <t>6777450</t>
        </is>
      </c>
    </row>
    <row r="28">
      <c r="A28" s="41" t="n">
        <v>78716</v>
      </c>
      <c r="B28" s="2" t="inlineStr">
        <is>
          <t xml:space="preserve">PIRAEUS FINANCIAL HOLDINGS SA COMMON STOCK </t>
        </is>
      </c>
      <c r="C28" s="18" t="n">
        <v>396884.72</v>
      </c>
      <c r="D28" s="19">
        <f>C28/$C$116</f>
        <v/>
      </c>
      <c r="E28" s="20" t="inlineStr">
        <is>
          <t>BNC0DB0</t>
        </is>
      </c>
    </row>
    <row r="29">
      <c r="A29" s="41" t="n">
        <v>221457</v>
      </c>
      <c r="B29" s="2" t="inlineStr">
        <is>
          <t xml:space="preserve">ALDAR PROPERTIES PJSC COMMON STOCK </t>
        </is>
      </c>
      <c r="C29" s="18" t="n">
        <v>391601.84</v>
      </c>
      <c r="D29" s="19">
        <f>C29/$C$116</f>
        <v/>
      </c>
      <c r="E29" s="20" t="inlineStr">
        <is>
          <t>B0LX3Y2</t>
        </is>
      </c>
    </row>
    <row r="30">
      <c r="A30" s="41" t="n">
        <v>15105</v>
      </c>
      <c r="B30" s="2" t="inlineStr">
        <is>
          <t xml:space="preserve">NOVA LJUBLJANSKA BANKA DD </t>
        </is>
      </c>
      <c r="C30" s="18" t="n">
        <v>388171</v>
      </c>
      <c r="D30" s="19">
        <f>C30/$C$116</f>
        <v/>
      </c>
      <c r="E30" s="20" t="inlineStr">
        <is>
          <t>BGRPD22</t>
        </is>
      </c>
    </row>
    <row r="31">
      <c r="A31" s="41" t="n">
        <v>149437</v>
      </c>
      <c r="B31" s="2" t="inlineStr">
        <is>
          <t xml:space="preserve">ALPHA BANK SA COMMON STOCK </t>
        </is>
      </c>
      <c r="C31" s="18" t="n">
        <v>381465.71</v>
      </c>
      <c r="D31" s="19">
        <f>C31/$C$116</f>
        <v/>
      </c>
      <c r="E31" s="20" t="inlineStr">
        <is>
          <t>BTJZ707</t>
        </is>
      </c>
    </row>
    <row r="32">
      <c r="A32" s="41" t="n">
        <v>208499</v>
      </c>
      <c r="B32" s="2" t="inlineStr">
        <is>
          <t xml:space="preserve">DUBAI ISLAMIC BANK PJSC COMMON STOCK </t>
        </is>
      </c>
      <c r="C32" s="18" t="n">
        <v>375730.6</v>
      </c>
      <c r="D32" s="19">
        <f>C32/$C$116</f>
        <v/>
      </c>
      <c r="E32" s="20" t="inlineStr">
        <is>
          <t>6283452</t>
        </is>
      </c>
    </row>
    <row r="33">
      <c r="A33" s="41" t="n">
        <v>11905</v>
      </c>
      <c r="B33" s="2" t="inlineStr">
        <is>
          <t xml:space="preserve">NAC KAZATOMPROM JSC </t>
        </is>
      </c>
      <c r="C33" s="18" t="n">
        <v>375302.66</v>
      </c>
      <c r="D33" s="19">
        <f>C33/$C$116</f>
        <v/>
      </c>
      <c r="E33" s="20" t="inlineStr">
        <is>
          <t>BGXQL36</t>
        </is>
      </c>
    </row>
    <row r="34">
      <c r="A34" s="41" t="n">
        <v>21935</v>
      </c>
      <c r="B34" s="2" t="inlineStr">
        <is>
          <t xml:space="preserve">OPTIMA BANK SA COMMON STOCK </t>
        </is>
      </c>
      <c r="C34" s="18" t="n">
        <v>375041.45</v>
      </c>
      <c r="D34" s="19">
        <f>C34/$C$116</f>
        <v/>
      </c>
      <c r="E34" s="20" t="inlineStr">
        <is>
          <t>BL571C1</t>
        </is>
      </c>
    </row>
    <row r="35">
      <c r="A35" s="41" t="n">
        <v>35872</v>
      </c>
      <c r="B35" s="2" t="inlineStr">
        <is>
          <t xml:space="preserve">HARMONY GOLD MINING CO LTD COMMON STOCK </t>
        </is>
      </c>
      <c r="C35" s="18" t="n">
        <v>360563.73</v>
      </c>
      <c r="D35" s="19">
        <f>C35/$C$116</f>
        <v/>
      </c>
      <c r="E35" s="20" t="inlineStr">
        <is>
          <t>6410562</t>
        </is>
      </c>
    </row>
    <row r="36">
      <c r="A36" s="41" t="n">
        <v>288479</v>
      </c>
      <c r="B36" s="2" t="inlineStr">
        <is>
          <t xml:space="preserve">AKBANK TAS COMMON STOCK </t>
        </is>
      </c>
      <c r="C36" s="18" t="n">
        <v>360525.86</v>
      </c>
      <c r="D36" s="19">
        <f>C36/$C$116</f>
        <v/>
      </c>
      <c r="E36" s="20" t="inlineStr">
        <is>
          <t>B03MN70</t>
        </is>
      </c>
    </row>
    <row r="37">
      <c r="A37" s="41" t="n">
        <v>127190</v>
      </c>
      <c r="B37" s="2" t="inlineStr">
        <is>
          <t xml:space="preserve">EUROBANK ERGASIAS SERVICES AND HOLDINGS SA COMMON STOCK </t>
        </is>
      </c>
      <c r="C37" s="18" t="n">
        <v>317703.2</v>
      </c>
      <c r="D37" s="19">
        <f>C37/$C$116</f>
        <v/>
      </c>
      <c r="E37" s="20" t="inlineStr">
        <is>
          <t>BYZ43T4</t>
        </is>
      </c>
    </row>
    <row r="38">
      <c r="A38" s="41" t="n">
        <v>54728</v>
      </c>
      <c r="B38" s="2" t="inlineStr">
        <is>
          <t xml:space="preserve">RIYAD BANK COMMON STOCK </t>
        </is>
      </c>
      <c r="C38" s="18" t="n">
        <v>305825.25</v>
      </c>
      <c r="D38" s="19">
        <f>C38/$C$116</f>
        <v/>
      </c>
      <c r="E38" s="20" t="inlineStr">
        <is>
          <t>B12LZW4</t>
        </is>
      </c>
    </row>
    <row r="39">
      <c r="A39" s="41" t="n">
        <v>362649</v>
      </c>
      <c r="B39" s="2" t="inlineStr">
        <is>
          <t xml:space="preserve">LUKOIL PJSC COMMON STOCK </t>
        </is>
      </c>
      <c r="C39" s="18" t="n">
        <v>174401.62</v>
      </c>
      <c r="D39" s="19">
        <f>C39/$C$116</f>
        <v/>
      </c>
      <c r="E39" s="20" t="inlineStr">
        <is>
          <t>X84C974</t>
        </is>
      </c>
    </row>
    <row r="40">
      <c r="A40" s="41" t="n">
        <v>262047</v>
      </c>
      <c r="B40" s="2" t="inlineStr">
        <is>
          <t>LUKOIL PJSC COMMON STOCK</t>
        </is>
      </c>
      <c r="C40" s="18" t="n">
        <v>119247.17</v>
      </c>
      <c r="D40" s="19">
        <f>C40/$C$116</f>
        <v/>
      </c>
      <c r="E40" s="20" t="inlineStr">
        <is>
          <t>X84D1F5</t>
        </is>
      </c>
    </row>
    <row r="41">
      <c r="A41" s="28" t="n"/>
      <c r="B41" s="27" t="inlineStr">
        <is>
          <t>Subtotal</t>
        </is>
      </c>
      <c r="C41" s="29">
        <f>+C40+C39</f>
        <v/>
      </c>
      <c r="D41" s="31">
        <f>C41/$C$119</f>
        <v/>
      </c>
      <c r="E41" s="20" t="n"/>
    </row>
    <row r="42">
      <c r="A42" s="41" t="n">
        <v>23041</v>
      </c>
      <c r="B42" s="2" t="inlineStr">
        <is>
          <t xml:space="preserve">POWSZECHNY ZAKLAD UBEZPIECZEN SA COMMON STOCK </t>
        </is>
      </c>
      <c r="C42" s="18" t="n">
        <v>292659.32</v>
      </c>
      <c r="D42" s="19">
        <f>C42/$C$116</f>
        <v/>
      </c>
      <c r="E42" s="20" t="inlineStr">
        <is>
          <t>B63DG21</t>
        </is>
      </c>
    </row>
    <row r="43">
      <c r="A43" s="41" t="n">
        <v>56454</v>
      </c>
      <c r="B43" s="2" t="inlineStr">
        <is>
          <t xml:space="preserve">MONETA MONEY BANK AS COMMON STOCK </t>
        </is>
      </c>
      <c r="C43" s="18" t="n">
        <v>283289.27</v>
      </c>
      <c r="D43" s="19">
        <f>C43/$C$116</f>
        <v/>
      </c>
      <c r="E43" s="20" t="inlineStr">
        <is>
          <t>BD3CQ16</t>
        </is>
      </c>
    </row>
    <row r="44">
      <c r="A44" s="41" t="n">
        <v>24898</v>
      </c>
      <c r="B44" s="2" t="inlineStr">
        <is>
          <t>SARANTIS SA</t>
        </is>
      </c>
      <c r="C44" s="18" t="n">
        <v>281526.64</v>
      </c>
      <c r="D44" s="19">
        <f>C44/$C$116</f>
        <v/>
      </c>
      <c r="E44" s="20" t="inlineStr">
        <is>
          <t>7124958</t>
        </is>
      </c>
    </row>
    <row r="45">
      <c r="A45" s="41" t="n">
        <v>155262</v>
      </c>
      <c r="B45" s="2" t="inlineStr">
        <is>
          <t>TURKCELL ILETISIM HIZMET AS</t>
        </is>
      </c>
      <c r="C45" s="18" t="n">
        <v>273618.16</v>
      </c>
      <c r="D45" s="19">
        <f>C45/$C$116</f>
        <v/>
      </c>
      <c r="E45" s="20" t="inlineStr">
        <is>
          <t>B03MYN3</t>
        </is>
      </c>
    </row>
    <row r="46">
      <c r="A46" s="41" t="n">
        <v>7292</v>
      </c>
      <c r="B46" s="2" t="inlineStr">
        <is>
          <t xml:space="preserve">BANK POLSKA KASA OPIEKI SA COMMON STOCK </t>
        </is>
      </c>
      <c r="C46" s="18" t="n">
        <v>271971.84</v>
      </c>
      <c r="D46" s="19">
        <f>C46/$C$116</f>
        <v/>
      </c>
      <c r="E46" s="20" t="inlineStr">
        <is>
          <t>5473113</t>
        </is>
      </c>
    </row>
    <row r="47">
      <c r="A47" s="41" t="n">
        <v>23805</v>
      </c>
      <c r="B47" s="2" t="inlineStr">
        <is>
          <t xml:space="preserve">SHOPRITE HOLDINGS LTD COMMON STOCK </t>
        </is>
      </c>
      <c r="C47" s="18" t="n">
        <v>270719.83</v>
      </c>
      <c r="D47" s="19">
        <f>C47/$C$116</f>
        <v/>
      </c>
      <c r="E47" s="20" t="inlineStr">
        <is>
          <t>6801575</t>
        </is>
      </c>
    </row>
    <row r="48">
      <c r="A48" s="41" t="n">
        <v>35367</v>
      </c>
      <c r="B48" s="2" t="inlineStr">
        <is>
          <t>ABSA GROUP LTD</t>
        </is>
      </c>
      <c r="C48" s="18" t="n">
        <v>255556.76</v>
      </c>
      <c r="D48" s="19">
        <f>C48/$C$116</f>
        <v/>
      </c>
      <c r="E48" s="20" t="inlineStr">
        <is>
          <t>BFX05H3</t>
        </is>
      </c>
    </row>
    <row r="49">
      <c r="A49" s="41" t="n">
        <v>1247</v>
      </c>
      <c r="B49" s="2" t="inlineStr">
        <is>
          <t xml:space="preserve">ELM CO COMMON STOCK </t>
        </is>
      </c>
      <c r="C49" s="18" t="n">
        <v>242994.66</v>
      </c>
      <c r="D49" s="19">
        <f>C49/$C$116</f>
        <v/>
      </c>
      <c r="E49" s="20" t="inlineStr">
        <is>
          <t>BNYDSH8</t>
        </is>
      </c>
    </row>
    <row r="50">
      <c r="A50" s="41" t="n">
        <v>43960</v>
      </c>
      <c r="B50" s="2" t="inlineStr">
        <is>
          <t xml:space="preserve">BANK OF CYPRUS HOLDINGS PLC COMMON STOCK </t>
        </is>
      </c>
      <c r="C50" s="18" t="n">
        <v>236482.18</v>
      </c>
      <c r="D50" s="19">
        <f>C50/$C$116</f>
        <v/>
      </c>
      <c r="E50" s="20" t="inlineStr">
        <is>
          <t>BN2BZT5</t>
        </is>
      </c>
    </row>
    <row r="51">
      <c r="A51" s="41" t="n">
        <v>182204</v>
      </c>
      <c r="B51" s="2" t="inlineStr">
        <is>
          <t xml:space="preserve">PARKIN CO PJSC COMMON STOCK </t>
        </is>
      </c>
      <c r="C51" s="18" t="n">
        <v>234945.92</v>
      </c>
      <c r="D51" s="19">
        <f>C51/$C$116</f>
        <v/>
      </c>
      <c r="E51" s="20" t="inlineStr">
        <is>
          <t>BRRGQF6</t>
        </is>
      </c>
    </row>
    <row r="52">
      <c r="A52" s="41" t="n">
        <v>118565</v>
      </c>
      <c r="B52" s="2" t="inlineStr">
        <is>
          <t xml:space="preserve">EMIRATES INTEGRATED TELECOMMUNICATIONS CO PJSC COMMON STOCK </t>
        </is>
      </c>
      <c r="C52" s="18" t="n">
        <v>233686.42</v>
      </c>
      <c r="D52" s="19">
        <f>C52/$C$116</f>
        <v/>
      </c>
      <c r="E52" s="20" t="inlineStr">
        <is>
          <t>B13TMN7</t>
        </is>
      </c>
    </row>
    <row r="53">
      <c r="A53" s="41" t="n">
        <v>85774</v>
      </c>
      <c r="B53" s="2" t="inlineStr">
        <is>
          <t xml:space="preserve">EMAAR DEVELOPMENT PJSC COMMON STOCK </t>
        </is>
      </c>
      <c r="C53" s="18" t="n">
        <v>230067.21</v>
      </c>
      <c r="D53" s="19">
        <f>C53/$C$116</f>
        <v/>
      </c>
      <c r="E53" s="20" t="inlineStr">
        <is>
          <t>BDG1977</t>
        </is>
      </c>
    </row>
    <row r="54">
      <c r="A54" s="41" t="n">
        <v>1487796</v>
      </c>
      <c r="B54" s="2" t="inlineStr">
        <is>
          <t xml:space="preserve">TURKIYE SIGORTA AS COMMON STOCK </t>
        </is>
      </c>
      <c r="C54" s="18" t="n">
        <v>227817.05</v>
      </c>
      <c r="D54" s="19">
        <f>C54/$C$116</f>
        <v/>
      </c>
      <c r="E54" s="20" t="inlineStr">
        <is>
          <t>B03MTD8</t>
        </is>
      </c>
    </row>
    <row r="55">
      <c r="A55" s="41" t="n">
        <v>6520</v>
      </c>
      <c r="B55" s="2" t="inlineStr">
        <is>
          <t xml:space="preserve">BUPA ARABIA FOR COOPERATIVE INSURANCE CO COMMON STOCK </t>
        </is>
      </c>
      <c r="C55" s="18" t="n">
        <v>225938.81</v>
      </c>
      <c r="D55" s="19">
        <f>C55/$C$116</f>
        <v/>
      </c>
      <c r="E55" s="20" t="inlineStr">
        <is>
          <t>B2RLCR0</t>
        </is>
      </c>
    </row>
    <row r="56">
      <c r="A56" s="41" t="n">
        <v>43441</v>
      </c>
      <c r="B56" s="2" t="inlineStr">
        <is>
          <t xml:space="preserve">TURK HAVA YOLLARI AO COMMON STOCK </t>
        </is>
      </c>
      <c r="C56" s="18" t="n">
        <v>225844.35</v>
      </c>
      <c r="D56" s="19">
        <f>C56/$C$116</f>
        <v/>
      </c>
      <c r="E56" s="20" t="inlineStr">
        <is>
          <t>B03MYK0</t>
        </is>
      </c>
    </row>
    <row r="57">
      <c r="A57" s="41" t="n">
        <v>1238</v>
      </c>
      <c r="B57" s="2" t="inlineStr">
        <is>
          <t xml:space="preserve">GRUPA KETY SA COMMON STOCK </t>
        </is>
      </c>
      <c r="C57" s="18" t="n">
        <v>223745.37</v>
      </c>
      <c r="D57" s="19">
        <f>C57/$C$116</f>
        <v/>
      </c>
      <c r="E57" s="20" t="inlineStr">
        <is>
          <t>5216385</t>
        </is>
      </c>
    </row>
    <row r="58">
      <c r="A58" s="41" t="n">
        <v>23094</v>
      </c>
      <c r="B58" s="2" t="inlineStr">
        <is>
          <t xml:space="preserve">BIDVEST GROUP LTD COMMON STOCK </t>
        </is>
      </c>
      <c r="C58" s="18" t="n">
        <v>221449.02</v>
      </c>
      <c r="D58" s="19">
        <f>C58/$C$116</f>
        <v/>
      </c>
      <c r="E58" s="20" t="inlineStr">
        <is>
          <t>6100089</t>
        </is>
      </c>
    </row>
    <row r="59">
      <c r="A59" s="41" t="n">
        <v>55815</v>
      </c>
      <c r="B59" s="2" t="inlineStr">
        <is>
          <t xml:space="preserve">ARABIAN CENTRES CO COMMON STOCK </t>
        </is>
      </c>
      <c r="C59" s="18" t="n">
        <v>210792.81</v>
      </c>
      <c r="D59" s="19">
        <f>C59/$C$116</f>
        <v/>
      </c>
      <c r="E59" s="20" t="inlineStr">
        <is>
          <t>BKBF694</t>
        </is>
      </c>
    </row>
    <row r="60">
      <c r="A60" s="41" t="n">
        <v>71</v>
      </c>
      <c r="B60" s="2" t="inlineStr">
        <is>
          <t xml:space="preserve">LPP SA COMMON STOCK </t>
        </is>
      </c>
      <c r="C60" s="18" t="n">
        <v>210328.85</v>
      </c>
      <c r="D60" s="19">
        <f>C60/$C$116</f>
        <v/>
      </c>
      <c r="E60" s="20" t="inlineStr">
        <is>
          <t>7127979</t>
        </is>
      </c>
    </row>
    <row r="61">
      <c r="A61" s="41" t="n">
        <v>8860909</v>
      </c>
      <c r="B61" s="2" t="inlineStr">
        <is>
          <t>GAZPROM PJSC COMMON STOCK</t>
        </is>
      </c>
      <c r="C61" s="18" t="n">
        <v>186217.79</v>
      </c>
      <c r="D61" s="19">
        <f>C61/$C$116</f>
        <v/>
      </c>
      <c r="E61" s="20" t="inlineStr">
        <is>
          <t>X8C529A</t>
        </is>
      </c>
    </row>
    <row r="62">
      <c r="A62" s="41" t="n">
        <v>5365084</v>
      </c>
      <c r="B62" s="2" t="inlineStr">
        <is>
          <t>GAZPROM PJSC ADR</t>
        </is>
      </c>
      <c r="C62" s="18" t="n">
        <v>22762.51</v>
      </c>
      <c r="D62" s="19">
        <f>C62/$C$116</f>
        <v/>
      </c>
      <c r="E62" s="20" t="inlineStr">
        <is>
          <t>X84C976</t>
        </is>
      </c>
    </row>
    <row r="63">
      <c r="A63" s="28" t="n"/>
      <c r="B63" s="27" t="inlineStr">
        <is>
          <t>Subtotal</t>
        </is>
      </c>
      <c r="C63" s="29">
        <f>+C62+C61</f>
        <v/>
      </c>
      <c r="D63" s="31">
        <f>C63/$C$119</f>
        <v/>
      </c>
      <c r="E63" s="38" t="n"/>
    </row>
    <row r="64">
      <c r="A64" s="41" t="n">
        <v>127144</v>
      </c>
      <c r="B64" s="2" t="inlineStr">
        <is>
          <t xml:space="preserve">FORD OTOMOTIV SANAYI AS COMMON STOCK </t>
        </is>
      </c>
      <c r="C64" s="18" t="n">
        <v>207861.27</v>
      </c>
      <c r="D64" s="19">
        <f>C64/$C$116</f>
        <v/>
      </c>
      <c r="E64" s="20" t="inlineStr">
        <is>
          <t>B03MSR5</t>
        </is>
      </c>
    </row>
    <row r="65">
      <c r="A65" s="41" t="n">
        <v>32435</v>
      </c>
      <c r="B65" s="2" t="inlineStr">
        <is>
          <t xml:space="preserve">MOL HUNGARIAN OIL &amp; GAS PLC COMMON STOCK </t>
        </is>
      </c>
      <c r="C65" s="18" t="n">
        <v>205338.96</v>
      </c>
      <c r="D65" s="19">
        <f>C65/$C$116</f>
        <v/>
      </c>
      <c r="E65" s="20" t="inlineStr">
        <is>
          <t>BD5ZXH8</t>
        </is>
      </c>
    </row>
    <row r="66">
      <c r="A66" s="41" t="n">
        <v>196322</v>
      </c>
      <c r="B66" s="2" t="inlineStr">
        <is>
          <t xml:space="preserve">QATAR GAS TRANSPORT CO LTD COMMON STOCK </t>
        </is>
      </c>
      <c r="C66" s="18" t="n">
        <v>195084.74</v>
      </c>
      <c r="D66" s="19" t="n"/>
      <c r="E66" s="20" t="inlineStr">
        <is>
          <t>B0MLBC9</t>
        </is>
      </c>
    </row>
    <row r="67">
      <c r="A67" s="41" t="n">
        <v>20472</v>
      </c>
      <c r="B67" s="2" t="inlineStr">
        <is>
          <t xml:space="preserve">SAUDI GROUND SERVICES CO COMMON STOCK </t>
        </is>
      </c>
      <c r="C67" s="18" t="n">
        <v>195020.83</v>
      </c>
      <c r="D67" s="19">
        <f>C67/$C$116</f>
        <v/>
      </c>
      <c r="E67" s="20" t="inlineStr">
        <is>
          <t>BYYTJ69</t>
        </is>
      </c>
    </row>
    <row r="68">
      <c r="A68" s="41" t="n">
        <v>14455036</v>
      </c>
      <c r="B68" s="2" t="inlineStr">
        <is>
          <t xml:space="preserve">SBERBANK OF RUSSIA PJSC PREFERENCE </t>
        </is>
      </c>
      <c r="C68" s="18" t="n">
        <v>167579.05</v>
      </c>
      <c r="D68" s="19">
        <f>C68/$C$116</f>
        <v/>
      </c>
      <c r="E68" s="20" t="inlineStr">
        <is>
          <t>X8C6155</t>
        </is>
      </c>
    </row>
    <row r="69">
      <c r="A69" s="41" t="n">
        <v>2355925</v>
      </c>
      <c r="B69" s="2" t="inlineStr">
        <is>
          <t>SBERBANK OF RUSSIA PJSC</t>
        </is>
      </c>
      <c r="C69" s="18" t="n">
        <v>27115.14</v>
      </c>
      <c r="D69" s="19">
        <f>C69/$C$116</f>
        <v/>
      </c>
      <c r="E69" s="20" t="inlineStr">
        <is>
          <t>X8C6398</t>
        </is>
      </c>
    </row>
    <row r="70">
      <c r="A70" s="41" t="n"/>
      <c r="B70" s="27" t="inlineStr">
        <is>
          <t>Subtotal</t>
        </is>
      </c>
      <c r="C70" s="29">
        <f>+C69+C68</f>
        <v/>
      </c>
      <c r="D70" s="31">
        <f>C70/$C$119</f>
        <v/>
      </c>
      <c r="E70" s="38" t="n"/>
    </row>
    <row r="71">
      <c r="A71" s="41" t="n">
        <v>169475</v>
      </c>
      <c r="B71" s="2" t="inlineStr">
        <is>
          <t>ADNOC DRILLING CO PJSC COMMON STOCK</t>
        </is>
      </c>
      <c r="C71" s="18" t="n">
        <v>191931.3</v>
      </c>
      <c r="D71" s="19">
        <f>C71/$C$116</f>
        <v/>
      </c>
      <c r="E71" s="20" t="inlineStr">
        <is>
          <t>BN12D39</t>
        </is>
      </c>
    </row>
    <row r="72">
      <c r="A72" s="41" t="n">
        <v>8660</v>
      </c>
      <c r="B72" s="2" t="inlineStr">
        <is>
          <t xml:space="preserve">RAIFFEISEN BANK INTERNATIONAL AG COMMON STOCK </t>
        </is>
      </c>
      <c r="C72" s="18" t="n">
        <v>191538.12</v>
      </c>
      <c r="D72" s="19">
        <f>C72/$C$116</f>
        <v/>
      </c>
      <c r="E72" s="20" t="inlineStr">
        <is>
          <t>B0704T9</t>
        </is>
      </c>
    </row>
    <row r="73">
      <c r="A73" s="41" t="n">
        <v>6082</v>
      </c>
      <c r="B73" s="2" t="inlineStr">
        <is>
          <t xml:space="preserve">CO FOR COOPERATIVE INSURANCE/THE COMMON STOCK </t>
        </is>
      </c>
      <c r="C73" s="18" t="n">
        <v>186974.69</v>
      </c>
      <c r="D73" s="19">
        <f>C73/$C$116</f>
        <v/>
      </c>
      <c r="E73" s="20" t="inlineStr">
        <is>
          <t>B128FN6</t>
        </is>
      </c>
    </row>
    <row r="74">
      <c r="A74" s="41" t="n">
        <v>13207</v>
      </c>
      <c r="B74" s="2" t="inlineStr">
        <is>
          <t xml:space="preserve">UNITED INTERNATIONAL TRANSPORTATION CO COMMON STOCK </t>
        </is>
      </c>
      <c r="C74" s="18" t="n">
        <v>185789.77</v>
      </c>
      <c r="D74" s="19">
        <f>C74/$C$116</f>
        <v/>
      </c>
      <c r="E74" s="20" t="inlineStr">
        <is>
          <t>B2493D0</t>
        </is>
      </c>
    </row>
    <row r="75">
      <c r="A75" s="41" t="n">
        <v>68238</v>
      </c>
      <c r="B75" s="2" t="inlineStr">
        <is>
          <t xml:space="preserve">ADES HOLDING CO COMMON STOCK </t>
        </is>
      </c>
      <c r="C75" s="18" t="n">
        <v>181897.27</v>
      </c>
      <c r="D75" s="19">
        <f>C75/$C$116</f>
        <v/>
      </c>
      <c r="E75" s="20" t="inlineStr">
        <is>
          <t>BR56KM3</t>
        </is>
      </c>
    </row>
    <row r="76">
      <c r="A76" s="41" t="n">
        <v>21418</v>
      </c>
      <c r="B76" s="2" t="inlineStr">
        <is>
          <t xml:space="preserve">ATHENS INTERNATIONAL AIRPORT SA COMMON STOCK </t>
        </is>
      </c>
      <c r="C76" s="18" t="n">
        <v>180715.85</v>
      </c>
      <c r="D76" s="19">
        <f>C76/$C$116</f>
        <v/>
      </c>
      <c r="E76" s="20" t="inlineStr">
        <is>
          <t>BPYS8N3</t>
        </is>
      </c>
    </row>
    <row r="77">
      <c r="A77" s="41" t="n">
        <v>27398</v>
      </c>
      <c r="B77" s="2" t="inlineStr">
        <is>
          <t xml:space="preserve">SAUDI AWWAL BANK COMMON STOCK </t>
        </is>
      </c>
      <c r="C77" s="18" t="n">
        <v>179650.36</v>
      </c>
      <c r="D77" s="19">
        <f>C77/$C$116</f>
        <v/>
      </c>
      <c r="E77" s="20" t="inlineStr">
        <is>
          <t>B12LSY7</t>
        </is>
      </c>
    </row>
    <row r="78">
      <c r="A78" s="41" t="n">
        <v>192692</v>
      </c>
      <c r="B78" s="2" t="inlineStr">
        <is>
          <t xml:space="preserve">ADNOC LOGISTICS &amp; SERVICES COMMON STOCK </t>
        </is>
      </c>
      <c r="C78" s="18" t="n">
        <v>178408.24</v>
      </c>
      <c r="D78" s="19">
        <f>C78/$C$116</f>
        <v/>
      </c>
      <c r="E78" s="20" t="inlineStr">
        <is>
          <t>BRBN103</t>
        </is>
      </c>
    </row>
    <row r="79">
      <c r="A79" s="41" t="n">
        <v>41881</v>
      </c>
      <c r="B79" s="2" t="inlineStr">
        <is>
          <t xml:space="preserve">ARAB NATIONAL BANK COMMON STOCK </t>
        </is>
      </c>
      <c r="C79" s="18" t="n">
        <v>176993.04</v>
      </c>
      <c r="D79" s="19">
        <f>C79/$C$116</f>
        <v/>
      </c>
      <c r="E79" s="20" t="inlineStr">
        <is>
          <t>B12LZK2</t>
        </is>
      </c>
    </row>
    <row r="80">
      <c r="A80" s="41" t="n">
        <v>6309</v>
      </c>
      <c r="B80" s="2" t="inlineStr">
        <is>
          <t xml:space="preserve">RIYADH CABLES GROUP CO COMMON STOCK </t>
        </is>
      </c>
      <c r="C80" s="18" t="n">
        <v>173575.83</v>
      </c>
      <c r="D80" s="19">
        <f>C80/$C$116</f>
        <v/>
      </c>
      <c r="E80" s="20" t="inlineStr">
        <is>
          <t>BNBPXW7</t>
        </is>
      </c>
    </row>
    <row r="81">
      <c r="A81" s="41" t="n">
        <v>44675</v>
      </c>
      <c r="B81" s="2" t="inlineStr">
        <is>
          <t xml:space="preserve">AVI LTD COMMON STOCK </t>
        </is>
      </c>
      <c r="C81" s="18" t="n">
        <v>172680.44</v>
      </c>
      <c r="D81" s="19">
        <f>C81/$C$116</f>
        <v/>
      </c>
      <c r="E81" s="20" t="inlineStr">
        <is>
          <t>6040958</t>
        </is>
      </c>
    </row>
    <row r="82">
      <c r="A82" s="41" t="n">
        <v>1268490</v>
      </c>
      <c r="B82" s="2" t="inlineStr">
        <is>
          <t xml:space="preserve">NOVATEK PJSC COMMON STOCK </t>
        </is>
      </c>
      <c r="C82" s="18" t="n">
        <v>150214</v>
      </c>
      <c r="D82" s="19">
        <f>C82/$C$116</f>
        <v/>
      </c>
      <c r="E82" s="20" t="inlineStr">
        <is>
          <t>X84C972</t>
        </is>
      </c>
    </row>
    <row r="83">
      <c r="A83" s="41" t="n">
        <v>103572</v>
      </c>
      <c r="B83" s="2" t="inlineStr">
        <is>
          <t xml:space="preserve">NOVATEK PJSC COMMON STOCK </t>
        </is>
      </c>
      <c r="C83" s="18" t="n">
        <v>11605.68</v>
      </c>
      <c r="D83" s="19">
        <f>C83/$C$116</f>
        <v/>
      </c>
      <c r="E83" s="20" t="inlineStr">
        <is>
          <t>X84C970</t>
        </is>
      </c>
    </row>
    <row r="84">
      <c r="A84" s="28" t="n"/>
      <c r="B84" s="27" t="inlineStr">
        <is>
          <t>Subtotal</t>
        </is>
      </c>
      <c r="C84" s="29">
        <f>+C83+C82</f>
        <v/>
      </c>
      <c r="D84" s="31">
        <f>C84/$C$119</f>
        <v/>
      </c>
      <c r="E84" s="38" t="n"/>
    </row>
    <row r="85">
      <c r="A85" s="41" t="n">
        <v>6262</v>
      </c>
      <c r="B85" s="2" t="inlineStr">
        <is>
          <t xml:space="preserve">LEEJAM SPORTS CO JSC COMMON STOCK </t>
        </is>
      </c>
      <c r="C85" s="18" t="n">
        <v>157540.02</v>
      </c>
      <c r="D85" s="19">
        <f>C85/$C$116</f>
        <v/>
      </c>
      <c r="E85" s="20" t="inlineStr">
        <is>
          <t>BF12ZV5</t>
        </is>
      </c>
    </row>
    <row r="86">
      <c r="A86" s="41" t="n">
        <v>6134</v>
      </c>
      <c r="B86" s="2" t="inlineStr">
        <is>
          <t xml:space="preserve">ALDREES PETROLEUM AND TRANSPORT SERVICES CO COMMON STOCK </t>
        </is>
      </c>
      <c r="C86" s="18" t="n">
        <v>152052.13</v>
      </c>
      <c r="D86" s="19">
        <f>C86/$C$116</f>
        <v/>
      </c>
      <c r="E86" s="20" t="inlineStr">
        <is>
          <t>B128FF8</t>
        </is>
      </c>
    </row>
    <row r="87">
      <c r="A87" s="41" t="n">
        <v>234111</v>
      </c>
      <c r="B87" s="2" t="inlineStr">
        <is>
          <t xml:space="preserve">TECOM GROUP PJSC COMMON STOCK </t>
        </is>
      </c>
      <c r="C87" s="18" t="n">
        <v>149776.26</v>
      </c>
      <c r="D87" s="19">
        <f>C87/$C$116</f>
        <v/>
      </c>
      <c r="E87" s="20" t="inlineStr">
        <is>
          <t>BLDC8Q1</t>
        </is>
      </c>
    </row>
    <row r="88">
      <c r="A88" s="41" t="n">
        <v>1803</v>
      </c>
      <c r="B88" s="2" t="inlineStr">
        <is>
          <t xml:space="preserve">KRUK SA COMMON STOCK </t>
        </is>
      </c>
      <c r="C88" s="18" t="n">
        <v>146254.06</v>
      </c>
      <c r="D88" s="19">
        <f>C88/$C$116</f>
        <v/>
      </c>
      <c r="E88" s="20" t="inlineStr">
        <is>
          <t>B4PTLY0</t>
        </is>
      </c>
    </row>
    <row r="89">
      <c r="A89" s="41" t="n">
        <v>7008</v>
      </c>
      <c r="B89" s="2" t="inlineStr">
        <is>
          <t xml:space="preserve">SAUDI ARAMCO BASE OIL CO COMMON STOCK </t>
        </is>
      </c>
      <c r="C89" s="18" t="n">
        <v>139355.56</v>
      </c>
      <c r="D89" s="19">
        <f>C89/$C$116</f>
        <v/>
      </c>
      <c r="E89" s="20" t="inlineStr">
        <is>
          <t>BMDKMB5</t>
        </is>
      </c>
    </row>
    <row r="90">
      <c r="A90" s="41" t="n">
        <v>2568</v>
      </c>
      <c r="B90" s="2" t="inlineStr">
        <is>
          <t xml:space="preserve">SAUDIA DAIRY &amp; FOODSTUFF CO COMMON STOCK </t>
        </is>
      </c>
      <c r="C90" s="18" t="n">
        <v>136706.9</v>
      </c>
      <c r="D90" s="19">
        <f>C90/$C$116</f>
        <v/>
      </c>
      <c r="E90" s="20" t="inlineStr">
        <is>
          <t>B133P41</t>
        </is>
      </c>
    </row>
    <row r="91">
      <c r="A91" s="41" t="n">
        <v>7795</v>
      </c>
      <c r="B91" s="2" t="inlineStr">
        <is>
          <t>UNITED ELECTRONICS CO COMMON STOCK</t>
        </is>
      </c>
      <c r="C91" s="18" t="n">
        <v>133316.63</v>
      </c>
      <c r="D91" s="19">
        <f>C91/$C$116</f>
        <v/>
      </c>
      <c r="E91" s="20" t="inlineStr">
        <is>
          <t>B4P2SD7</t>
        </is>
      </c>
    </row>
    <row r="92">
      <c r="A92" s="41" t="n">
        <v>53407</v>
      </c>
      <c r="B92" s="2" t="inlineStr">
        <is>
          <t xml:space="preserve">TURKIYE GARANTI BANKASI AS COMMON STOCK </t>
        </is>
      </c>
      <c r="C92" s="18" t="n">
        <v>132217.31</v>
      </c>
      <c r="D92" s="19">
        <f>C92/$C$116</f>
        <v/>
      </c>
      <c r="E92" s="20" t="inlineStr">
        <is>
          <t>B03MYP5</t>
        </is>
      </c>
    </row>
    <row r="93">
      <c r="A93" s="41" t="n">
        <v>4593</v>
      </c>
      <c r="B93" s="2" t="inlineStr">
        <is>
          <t xml:space="preserve">ALKHORAYEF WATER &amp; POWER TECHNOLOGIES CO COMMON STOCK </t>
        </is>
      </c>
      <c r="C93" s="18" t="n">
        <v>128777.43</v>
      </c>
      <c r="D93" s="19">
        <f>C93/$C$116</f>
        <v/>
      </c>
      <c r="E93" s="20" t="inlineStr">
        <is>
          <t>BN33QN1</t>
        </is>
      </c>
    </row>
    <row r="94">
      <c r="A94" s="41" t="n">
        <v>7119200</v>
      </c>
      <c r="B94" s="2" t="inlineStr">
        <is>
          <t xml:space="preserve">MMC NORILSK NICKEL PJSC COMMON STOCK </t>
        </is>
      </c>
      <c r="C94" s="18" t="n">
        <v>125397.04</v>
      </c>
      <c r="D94" s="19">
        <f>C94/$C$116</f>
        <v/>
      </c>
      <c r="E94" s="20" t="inlineStr">
        <is>
          <t>X84C977</t>
        </is>
      </c>
    </row>
    <row r="95">
      <c r="A95" s="41" t="n">
        <v>6774</v>
      </c>
      <c r="B95" s="2" t="inlineStr">
        <is>
          <t xml:space="preserve">JERONIMO MARTINS SGPS SA COMMON STOCK </t>
        </is>
      </c>
      <c r="C95" s="18" t="n">
        <v>124524.84</v>
      </c>
      <c r="D95" s="19">
        <f>C95/$C$116</f>
        <v/>
      </c>
      <c r="E95" s="20" t="inlineStr">
        <is>
          <t>B1Y1SQ7</t>
        </is>
      </c>
    </row>
    <row r="96">
      <c r="A96" s="41" t="n">
        <v>2041744</v>
      </c>
      <c r="B96" s="2" t="inlineStr">
        <is>
          <t xml:space="preserve">ROSNEFT OIL CO PJSC COMMON STOCK </t>
        </is>
      </c>
      <c r="C96" s="18" t="n">
        <v>55461.54</v>
      </c>
      <c r="D96" s="19">
        <f>C96/$C$116</f>
        <v/>
      </c>
      <c r="E96" s="20" t="inlineStr">
        <is>
          <t>X84C971</t>
        </is>
      </c>
    </row>
    <row r="97">
      <c r="A97" s="41" t="n">
        <v>1677948</v>
      </c>
      <c r="B97" s="2" t="inlineStr">
        <is>
          <t>ROSNEFT OIL CO PJSC COMMON STOCK</t>
        </is>
      </c>
      <c r="C97" s="18" t="n">
        <v>48227.08</v>
      </c>
      <c r="D97" s="19">
        <f>C97/$C$116</f>
        <v/>
      </c>
      <c r="E97" s="20" t="inlineStr">
        <is>
          <t>X84D1F9</t>
        </is>
      </c>
    </row>
    <row r="98">
      <c r="A98" s="28" t="n"/>
      <c r="B98" s="27" t="inlineStr">
        <is>
          <t>Subtotal</t>
        </is>
      </c>
      <c r="C98" s="29">
        <f>+C97+C96</f>
        <v/>
      </c>
      <c r="D98" s="31">
        <f>C98/$C$119</f>
        <v/>
      </c>
      <c r="E98" s="38" t="n"/>
    </row>
    <row r="99">
      <c r="A99" s="41" t="n">
        <v>3657350</v>
      </c>
      <c r="B99" s="2" t="inlineStr">
        <is>
          <t xml:space="preserve">NOVOLIPETSK STEEL PJSC COMMON STOCK </t>
        </is>
      </c>
      <c r="C99" s="18" t="n">
        <v>63992.57</v>
      </c>
      <c r="D99" s="19">
        <f>C99/$C$116</f>
        <v/>
      </c>
      <c r="E99" s="20" t="inlineStr">
        <is>
          <t>X84C97E</t>
        </is>
      </c>
    </row>
    <row r="100">
      <c r="A100" s="41" t="n">
        <v>180877</v>
      </c>
      <c r="B100" s="2" t="inlineStr">
        <is>
          <t xml:space="preserve">MAGNIT PJSC COMMON STOCK </t>
        </is>
      </c>
      <c r="C100" s="18" t="n">
        <v>49452.12</v>
      </c>
      <c r="D100" s="19">
        <f>C100/$C$116</f>
        <v/>
      </c>
      <c r="E100" s="20" t="inlineStr">
        <is>
          <t>X8C505A</t>
        </is>
      </c>
    </row>
    <row r="101">
      <c r="A101" s="41" t="n">
        <v>1265335</v>
      </c>
      <c r="B101" s="2" t="inlineStr">
        <is>
          <t xml:space="preserve">GAZPROM NEFT PJSC COMMON STOCK </t>
        </is>
      </c>
      <c r="C101" s="18" t="n">
        <v>44688.29</v>
      </c>
      <c r="D101" s="19">
        <f>C101/$C$116</f>
        <v/>
      </c>
      <c r="E101" s="20" t="inlineStr">
        <is>
          <t>X84D1F6</t>
        </is>
      </c>
    </row>
    <row r="102">
      <c r="A102" s="41" t="n">
        <v>730066</v>
      </c>
      <c r="B102" s="2" t="inlineStr">
        <is>
          <t xml:space="preserve">TATNEFT PJSC COMMON STOCK </t>
        </is>
      </c>
      <c r="C102" s="18" t="n">
        <v>24168.18</v>
      </c>
      <c r="D102" s="19">
        <f>C102/$C$116</f>
        <v/>
      </c>
      <c r="E102" s="20" t="inlineStr">
        <is>
          <t>X84C973</t>
        </is>
      </c>
    </row>
    <row r="103">
      <c r="A103" s="41" t="n">
        <v>571359</v>
      </c>
      <c r="B103" s="2" t="inlineStr">
        <is>
          <t xml:space="preserve">TATNEFT PJSC PREFERENCE </t>
        </is>
      </c>
      <c r="C103" s="18" t="n">
        <v>16749.97</v>
      </c>
      <c r="D103" s="19">
        <f>C103/$C$116</f>
        <v/>
      </c>
      <c r="E103" s="20" t="inlineStr">
        <is>
          <t>X8C6150</t>
        </is>
      </c>
    </row>
    <row r="104">
      <c r="A104" s="28" t="n"/>
      <c r="B104" s="27" t="inlineStr">
        <is>
          <t>Subtotal</t>
        </is>
      </c>
      <c r="C104" s="29">
        <f>+C103+C102</f>
        <v/>
      </c>
      <c r="D104" s="31">
        <f>C104/$C$119</f>
        <v/>
      </c>
      <c r="E104" s="38" t="n"/>
    </row>
    <row r="105">
      <c r="A105" s="41" t="n">
        <v>6156103</v>
      </c>
      <c r="B105" s="2" t="inlineStr">
        <is>
          <t xml:space="preserve">ROSTELECOM PJSC COMMON STOCK </t>
        </is>
      </c>
      <c r="C105" s="18" t="n">
        <v>38548.2</v>
      </c>
      <c r="D105" s="19">
        <f>C105/$C$116</f>
        <v/>
      </c>
      <c r="E105" s="20" t="inlineStr">
        <is>
          <t>X84C978</t>
        </is>
      </c>
    </row>
    <row r="106">
      <c r="A106" s="41" t="n">
        <v>4246654</v>
      </c>
      <c r="B106" s="2" t="inlineStr">
        <is>
          <t xml:space="preserve">VTB BANK PJSC COMMON STOCK </t>
        </is>
      </c>
      <c r="C106" s="18" t="n">
        <v>37497.36</v>
      </c>
      <c r="D106" s="19">
        <f>C106/$C$116</f>
        <v/>
      </c>
      <c r="E106" s="20" t="inlineStr">
        <is>
          <t>X8C6392</t>
        </is>
      </c>
    </row>
    <row r="107">
      <c r="A107" s="41" t="n">
        <v>297730</v>
      </c>
      <c r="B107" s="2" t="inlineStr">
        <is>
          <t xml:space="preserve">POLYUS PJSC COMMON STOCK </t>
        </is>
      </c>
      <c r="C107" s="18" t="n">
        <v>30906.18</v>
      </c>
      <c r="D107" s="19">
        <f>C107/$C$116</f>
        <v/>
      </c>
      <c r="E107" s="20" t="inlineStr">
        <is>
          <t>X84D1F8</t>
        </is>
      </c>
    </row>
    <row r="108">
      <c r="A108" s="41" t="n">
        <v>432517</v>
      </c>
      <c r="B108" s="2" t="inlineStr">
        <is>
          <t xml:space="preserve">MD MEDICAL GROUP INVESTMENTS PLC </t>
        </is>
      </c>
      <c r="C108" s="18" t="n">
        <v>17990.64</v>
      </c>
      <c r="D108" s="19">
        <f>C108/$C$116</f>
        <v/>
      </c>
      <c r="E108" s="20" t="inlineStr">
        <is>
          <t>X8C6397</t>
        </is>
      </c>
    </row>
    <row r="109">
      <c r="A109" s="41" t="n">
        <v>12313057</v>
      </c>
      <c r="B109" s="2" t="inlineStr">
        <is>
          <t xml:space="preserve">SISTEMA PJSFC COMMON STOCK </t>
        </is>
      </c>
      <c r="C109" s="18" t="n">
        <v>13522.12</v>
      </c>
      <c r="D109" s="19">
        <f>C109/$C$116</f>
        <v/>
      </c>
      <c r="E109" s="20" t="inlineStr">
        <is>
          <t>X84D1F7</t>
        </is>
      </c>
    </row>
    <row r="110">
      <c r="A110" s="41" t="n">
        <v>577525</v>
      </c>
      <c r="B110" s="2" t="inlineStr">
        <is>
          <t>FIX PRICE GROUP LTD GDR</t>
        </is>
      </c>
      <c r="C110" s="18" t="n">
        <v>3961.57</v>
      </c>
      <c r="D110" s="19">
        <f>C110/$C$116</f>
        <v/>
      </c>
      <c r="E110" s="20" t="inlineStr">
        <is>
          <t>X84CF24</t>
        </is>
      </c>
    </row>
    <row r="111">
      <c r="A111" s="41" t="n">
        <v>75226</v>
      </c>
      <c r="B111" s="2" t="inlineStr">
        <is>
          <t>TCS GROUP HOLDING PLC GDR</t>
        </is>
      </c>
      <c r="C111" s="18" t="n">
        <v>1752.81</v>
      </c>
      <c r="D111" s="19">
        <f>C111/$C$116</f>
        <v/>
      </c>
      <c r="E111" s="20" t="inlineStr">
        <is>
          <t>X8C4FD3</t>
        </is>
      </c>
    </row>
    <row r="112">
      <c r="A112" s="41" t="n">
        <v>275182</v>
      </c>
      <c r="B112" s="2" t="inlineStr">
        <is>
          <t>X 5 RETAIL GROUP NV-REGS GDR</t>
        </is>
      </c>
      <c r="C112" s="18" t="n">
        <v>1067.11</v>
      </c>
      <c r="D112" s="19">
        <f>C112/$C$116</f>
        <v/>
      </c>
      <c r="E112" s="20" t="inlineStr">
        <is>
          <t>X8C4FD9</t>
        </is>
      </c>
    </row>
    <row r="113">
      <c r="A113" s="41" t="n">
        <v>1011.54</v>
      </c>
      <c r="B113" s="2" t="inlineStr">
        <is>
          <t>JPM USD LIQUIDITY LVNAV X (DIST.)</t>
        </is>
      </c>
      <c r="C113" s="18" t="n">
        <v>738.16</v>
      </c>
      <c r="D113" s="19">
        <f>C113/$C$116</f>
        <v/>
      </c>
      <c r="E113" s="20" t="inlineStr">
        <is>
          <t>7253766</t>
        </is>
      </c>
    </row>
    <row r="114">
      <c r="A114" s="41" t="n">
        <v>552780</v>
      </c>
      <c r="B114" s="2" t="inlineStr">
        <is>
          <t xml:space="preserve">SEVERSTAL PAO </t>
        </is>
      </c>
      <c r="C114" s="18" t="n">
        <v>242.43</v>
      </c>
      <c r="D114" s="19">
        <f>C114/$C$116</f>
        <v/>
      </c>
      <c r="E114" s="20" t="inlineStr">
        <is>
          <t>X84C975</t>
        </is>
      </c>
    </row>
    <row r="115">
      <c r="A115" s="28" t="n"/>
      <c r="B115" s="2" t="n"/>
      <c r="C115" s="18" t="n"/>
      <c r="D115" s="19" t="n"/>
      <c r="E115" s="38" t="n"/>
    </row>
    <row r="116">
      <c r="A116" s="28" t="n"/>
      <c r="B116" s="21" t="inlineStr">
        <is>
          <t>Total portfolio</t>
        </is>
      </c>
      <c r="C116" s="39">
        <f>SUM(C12:C40)+SUM(C42:C62)+SUM(C64:C69)+SUM(C71:C83)+SUM(C85:C97)+SUM(C99:C103)+SUM(C105:C114)</f>
        <v/>
      </c>
      <c r="D116" s="19">
        <f>C116/$C$119</f>
        <v/>
      </c>
      <c r="E116" s="20" t="n"/>
      <c r="H116" s="48" t="n"/>
    </row>
    <row r="117">
      <c r="A117" s="28" t="n"/>
      <c r="B117" s="21" t="inlineStr">
        <is>
          <t>Net Current Assets</t>
        </is>
      </c>
      <c r="C117" s="39" t="n">
        <v>523121.03</v>
      </c>
      <c r="D117" s="19">
        <f>C117/$C$119</f>
        <v/>
      </c>
      <c r="E117" s="20" t="n"/>
    </row>
    <row r="118">
      <c r="A118" s="28" t="n"/>
      <c r="B118" s="21" t="n"/>
      <c r="C118" s="39" t="n"/>
      <c r="D118" s="32" t="n"/>
      <c r="E118" s="20" t="n"/>
    </row>
    <row r="119">
      <c r="A119" s="17" t="n"/>
      <c r="B119" s="21" t="inlineStr">
        <is>
          <t>Total Assets</t>
        </is>
      </c>
      <c r="C119" s="22">
        <f>C116+C117</f>
        <v/>
      </c>
      <c r="D119" s="19">
        <f>C119/$C$119</f>
        <v/>
      </c>
      <c r="E119" s="3" t="n"/>
    </row>
    <row r="120" ht="12.75" customHeight="1" s="42">
      <c r="A12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1"/>
    <row r="122"/>
    <row r="123"/>
  </sheetData>
  <mergeCells count="2">
    <mergeCell ref="A3:E6"/>
    <mergeCell ref="A120:E123"/>
  </mergeCells>
  <conditionalFormatting sqref="B12:B115">
    <cfRule type="containsText" priority="1" operator="containsText" dxfId="0" text="LIQUIDITY">
      <formula>NOT(ISERROR(SEARCH("LIQUIDITY",B12)))</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26"/>
  <sheetViews>
    <sheetView topLeftCell="A100" workbookViewId="0">
      <selection activeCell="B120" sqref="B12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This is provided for informational purposes only. It cannot be assumed that these types of investments will be available to or will be selected by the fund in the future. The below, where applicable, also includes any Contract for Difference (CFD) exposure.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51207</v>
      </c>
      <c r="B12" s="2" t="inlineStr">
        <is>
          <t>AL RAJHI BANK COMMON STOCK</t>
        </is>
      </c>
      <c r="C12" s="18" t="n">
        <v>922058.21</v>
      </c>
      <c r="D12" s="19">
        <f>C12/$C$119</f>
        <v/>
      </c>
      <c r="E12" s="20" t="inlineStr">
        <is>
          <t>B12LZH9</t>
        </is>
      </c>
    </row>
    <row r="13">
      <c r="A13" s="41" t="n">
        <v>173053</v>
      </c>
      <c r="B13" s="2" t="inlineStr">
        <is>
          <t xml:space="preserve">QATAR NATIONAL BANK QPSC COMMON STOCK </t>
        </is>
      </c>
      <c r="C13" s="18" t="n">
        <v>597394.33</v>
      </c>
      <c r="D13" s="19">
        <f>C13/$C$119</f>
        <v/>
      </c>
      <c r="E13" s="20" t="inlineStr">
        <is>
          <t>6148197</t>
        </is>
      </c>
    </row>
    <row r="14">
      <c r="A14" s="41" t="n">
        <v>83345</v>
      </c>
      <c r="B14" s="2" t="inlineStr">
        <is>
          <t>THE SAUDI NATIONAL BANK</t>
        </is>
      </c>
      <c r="C14" s="18" t="n">
        <v>569165.0600000001</v>
      </c>
      <c r="D14" s="19">
        <f>C14/$C$119</f>
        <v/>
      </c>
      <c r="E14" s="20" t="inlineStr">
        <is>
          <t>BSHYYN1</t>
        </is>
      </c>
    </row>
    <row r="15">
      <c r="A15" s="41" t="n">
        <v>33759</v>
      </c>
      <c r="B15" s="45" t="inlineStr">
        <is>
          <t xml:space="preserve">GOLD FIELDS LTD COMMON STOCK </t>
        </is>
      </c>
      <c r="C15" s="33" t="n">
        <v>561960.49</v>
      </c>
      <c r="D15" s="19">
        <f>C15/$C$119</f>
        <v/>
      </c>
      <c r="E15" s="20" t="inlineStr">
        <is>
          <t>6280215</t>
        </is>
      </c>
    </row>
    <row r="16">
      <c r="A16" s="41" t="n">
        <v>56252</v>
      </c>
      <c r="B16" s="2" t="inlineStr">
        <is>
          <t>STANDARD BANK GROUP LTD COMMON STOCK</t>
        </is>
      </c>
      <c r="C16" s="18" t="n">
        <v>538786.02</v>
      </c>
      <c r="D16" s="19">
        <f>C16/$C$119</f>
        <v/>
      </c>
      <c r="E16" s="20" t="inlineStr">
        <is>
          <t>B030GJ7</t>
        </is>
      </c>
    </row>
    <row r="17">
      <c r="A17" s="41" t="n">
        <v>201080</v>
      </c>
      <c r="B17" s="2" t="inlineStr">
        <is>
          <t xml:space="preserve">EMAAR PROPERTIES PJSC COMMON STOCK </t>
        </is>
      </c>
      <c r="C17" s="18" t="n">
        <v>533834.51</v>
      </c>
      <c r="D17" s="19">
        <f>C17/$C$119</f>
        <v/>
      </c>
      <c r="E17" s="20" t="inlineStr">
        <is>
          <t>B01RM25</t>
        </is>
      </c>
    </row>
    <row r="18">
      <c r="A18" s="41" t="n">
        <v>2386</v>
      </c>
      <c r="B18" s="2" t="inlineStr">
        <is>
          <t>NASPERS LTD COMMON STOCK</t>
        </is>
      </c>
      <c r="C18" s="33" t="n">
        <v>505962.74</v>
      </c>
      <c r="D18" s="19">
        <f>C18/$C$119</f>
        <v/>
      </c>
      <c r="E18" s="20" t="inlineStr">
        <is>
          <t>BN0VX82</t>
        </is>
      </c>
    </row>
    <row r="19">
      <c r="A19" s="41" t="n">
        <v>161352</v>
      </c>
      <c r="B19" s="2" t="inlineStr">
        <is>
          <t xml:space="preserve">FIRSTRAND LTD COMMON STOCK </t>
        </is>
      </c>
      <c r="C19" s="33" t="n">
        <v>493701.26</v>
      </c>
      <c r="D19" s="19">
        <f>C19/$C$119</f>
        <v/>
      </c>
      <c r="E19" s="20" t="inlineStr">
        <is>
          <t>6606996</t>
        </is>
      </c>
    </row>
    <row r="20">
      <c r="A20" s="41" t="n">
        <v>28022</v>
      </c>
      <c r="B20" s="2" t="inlineStr">
        <is>
          <t>HALYK SAVINGS BANK OF KAZAKHSTAN JSC GDR</t>
        </is>
      </c>
      <c r="C20" s="18" t="n">
        <v>467535.5</v>
      </c>
      <c r="D20" s="19">
        <f>C20/$C$119</f>
        <v/>
      </c>
      <c r="E20" s="20" t="inlineStr">
        <is>
          <t>B1KDG41</t>
        </is>
      </c>
    </row>
    <row r="21">
      <c r="A21" s="41" t="n">
        <v>117334</v>
      </c>
      <c r="B21" s="2" t="inlineStr">
        <is>
          <t xml:space="preserve">ABU DHABI ISLAMIC BANK PJSC COMMON STOCK </t>
        </is>
      </c>
      <c r="C21" s="18" t="n">
        <v>453869.91</v>
      </c>
      <c r="D21" s="19">
        <f>C21/$C$119</f>
        <v/>
      </c>
      <c r="E21" s="20" t="inlineStr">
        <is>
          <t>6001728</t>
        </is>
      </c>
    </row>
    <row r="22">
      <c r="A22" s="41" t="n">
        <v>29624</v>
      </c>
      <c r="B22" s="2" t="inlineStr">
        <is>
          <t>POWSZECHNA KASA OSZCZEDNOSCI BANK POLSKI SA COMMON STOCK</t>
        </is>
      </c>
      <c r="C22" s="18" t="n">
        <v>441510.69</v>
      </c>
      <c r="D22" s="19">
        <f>C22/$C$119</f>
        <v/>
      </c>
      <c r="E22" s="20" t="inlineStr">
        <is>
          <t>B03NGS5</t>
        </is>
      </c>
    </row>
    <row r="23">
      <c r="A23" s="41" t="n">
        <v>125683</v>
      </c>
      <c r="B23" s="2" t="inlineStr">
        <is>
          <t xml:space="preserve">SASOL LTD COMMON STOCK </t>
        </is>
      </c>
      <c r="C23" s="18" t="n">
        <v>419193.79</v>
      </c>
      <c r="D23" s="19">
        <f>C23/$C$119</f>
        <v/>
      </c>
      <c r="E23" s="20" t="inlineStr">
        <is>
          <t>6777450</t>
        </is>
      </c>
    </row>
    <row r="24">
      <c r="A24" s="41" t="n">
        <v>47421</v>
      </c>
      <c r="B24" s="2" t="inlineStr">
        <is>
          <t xml:space="preserve">NATIONAL BANK OF GREECE SA COMMON STOCK </t>
        </is>
      </c>
      <c r="C24" s="18" t="n">
        <v>419164.47</v>
      </c>
      <c r="D24" s="19">
        <f>C24/$C$119</f>
        <v/>
      </c>
      <c r="E24" s="20" t="inlineStr">
        <is>
          <t>BG087C6</t>
        </is>
      </c>
    </row>
    <row r="25">
      <c r="A25" s="41" t="n">
        <v>10827</v>
      </c>
      <c r="B25" s="2" t="inlineStr">
        <is>
          <t xml:space="preserve">METLEN ENERGY &amp; METALS SA COMMON STOCK </t>
        </is>
      </c>
      <c r="C25" s="18" t="n">
        <v>407964.78</v>
      </c>
      <c r="D25" s="19">
        <f>C25/$C$119</f>
        <v/>
      </c>
      <c r="E25" s="20" t="inlineStr">
        <is>
          <t>5898664</t>
        </is>
      </c>
    </row>
    <row r="26">
      <c r="A26" s="41" t="n">
        <v>646</v>
      </c>
      <c r="B26" s="2" t="inlineStr">
        <is>
          <t xml:space="preserve">BENEFIT SYSTEMS SA COMMON STOCK </t>
        </is>
      </c>
      <c r="C26" s="18" t="n">
        <v>394018.44</v>
      </c>
      <c r="D26" s="19">
        <f>C26/$C$119</f>
        <v/>
      </c>
      <c r="E26" s="20" t="inlineStr">
        <is>
          <t>B4XY9X2</t>
        </is>
      </c>
    </row>
    <row r="27">
      <c r="A27" s="41" t="n">
        <v>78716</v>
      </c>
      <c r="B27" s="2" t="inlineStr">
        <is>
          <t xml:space="preserve">PIRAEUS FINANCIAL HOLDINGS SA COMMON STOCK </t>
        </is>
      </c>
      <c r="C27" s="18" t="n">
        <v>389111.01</v>
      </c>
      <c r="D27" s="19">
        <f>C27/$C$119</f>
        <v/>
      </c>
      <c r="E27" s="20" t="inlineStr">
        <is>
          <t>BNC0DB0</t>
        </is>
      </c>
    </row>
    <row r="28">
      <c r="A28" s="41" t="n">
        <v>35872</v>
      </c>
      <c r="B28" s="2" t="inlineStr">
        <is>
          <t xml:space="preserve">HARMONY GOLD MINING CO LTD COMMON STOCK </t>
        </is>
      </c>
      <c r="C28" s="18" t="n">
        <v>376744.18</v>
      </c>
      <c r="D28" s="19">
        <f>C28/$C$119</f>
        <v/>
      </c>
      <c r="E28" s="20" t="inlineStr">
        <is>
          <t>6410562</t>
        </is>
      </c>
    </row>
    <row r="29">
      <c r="A29" s="41" t="n">
        <v>221457</v>
      </c>
      <c r="B29" s="2" t="inlineStr">
        <is>
          <t>ALDAR PROPERTIES PJSC COMMON STOCK</t>
        </is>
      </c>
      <c r="C29" s="18" t="n">
        <v>371537.33</v>
      </c>
      <c r="D29" s="19">
        <f>C29/$C$119</f>
        <v/>
      </c>
      <c r="E29" s="20" t="inlineStr">
        <is>
          <t>B0LX3Y2</t>
        </is>
      </c>
    </row>
    <row r="30">
      <c r="A30" s="41" t="n">
        <v>15105</v>
      </c>
      <c r="B30" s="2" t="inlineStr">
        <is>
          <t>NOVA LJUBLJANSKA BANKA DD GDR</t>
        </is>
      </c>
      <c r="C30" s="18" t="n">
        <v>356043.63</v>
      </c>
      <c r="D30" s="19">
        <f>C30/$C$119</f>
        <v/>
      </c>
      <c r="E30" s="20" t="inlineStr">
        <is>
          <t>BGRPD22</t>
        </is>
      </c>
    </row>
    <row r="31">
      <c r="A31" s="41" t="n">
        <v>149437</v>
      </c>
      <c r="B31" s="2" t="inlineStr">
        <is>
          <t xml:space="preserve">ALPHA SERVICES AND HOLDINGS SA COMMON STOCK </t>
        </is>
      </c>
      <c r="C31" s="18" t="n">
        <v>356015.6</v>
      </c>
      <c r="D31" s="19">
        <f>C31/$C$119</f>
        <v/>
      </c>
      <c r="E31" s="20" t="inlineStr">
        <is>
          <t>BZ1MXR7</t>
        </is>
      </c>
    </row>
    <row r="32">
      <c r="A32" s="41" t="n">
        <v>208499</v>
      </c>
      <c r="B32" s="2" t="inlineStr">
        <is>
          <t xml:space="preserve">DUBAI ISLAMIC BANK PJSC COMMON STOCK </t>
        </is>
      </c>
      <c r="C32" s="18" t="n">
        <v>347272.14</v>
      </c>
      <c r="D32" s="19">
        <f>C32/$C$119</f>
        <v/>
      </c>
      <c r="E32" s="20" t="inlineStr">
        <is>
          <t>6283452</t>
        </is>
      </c>
    </row>
    <row r="33">
      <c r="A33" s="41" t="n">
        <v>11905</v>
      </c>
      <c r="B33" s="2" t="inlineStr">
        <is>
          <t>NAC KAZATOMPROM JSC GDR</t>
        </is>
      </c>
      <c r="C33" s="18" t="n">
        <v>335905.41</v>
      </c>
      <c r="D33" s="19">
        <f>C33/$C$119</f>
        <v/>
      </c>
      <c r="E33" s="20" t="inlineStr">
        <is>
          <t>BGXQL36</t>
        </is>
      </c>
    </row>
    <row r="34">
      <c r="A34" s="41" t="n">
        <v>54728</v>
      </c>
      <c r="B34" s="2" t="inlineStr">
        <is>
          <t xml:space="preserve">RIYAD BANK COMMON STOCK </t>
        </is>
      </c>
      <c r="C34" s="18" t="n">
        <v>312620.93</v>
      </c>
      <c r="D34" s="19">
        <f>C34/$C$119</f>
        <v/>
      </c>
      <c r="E34" s="20" t="inlineStr">
        <is>
          <t>B12LZW4</t>
        </is>
      </c>
    </row>
    <row r="35">
      <c r="A35" s="41" t="n">
        <v>5289</v>
      </c>
      <c r="B35" s="2" t="inlineStr">
        <is>
          <t>JSC KASPI.KZ GDR-REG S</t>
        </is>
      </c>
      <c r="C35" s="18" t="n">
        <v>312190.42</v>
      </c>
      <c r="D35" s="19">
        <f>C35/$C$119</f>
        <v/>
      </c>
      <c r="E35" s="20" t="inlineStr">
        <is>
          <t>BJY21K1</t>
        </is>
      </c>
    </row>
    <row r="36">
      <c r="A36" s="41" t="n">
        <v>362649</v>
      </c>
      <c r="B36" s="2" t="inlineStr">
        <is>
          <t>LUKOIL PJSC COMMON STOCK</t>
        </is>
      </c>
      <c r="C36" s="18" t="n">
        <v>176262.96</v>
      </c>
      <c r="D36" s="19">
        <f>C36/$C$119</f>
        <v/>
      </c>
      <c r="E36" s="20" t="inlineStr">
        <is>
          <t>X84C974</t>
        </is>
      </c>
    </row>
    <row r="37">
      <c r="A37" s="41" t="n">
        <v>262047</v>
      </c>
      <c r="B37" s="2" t="inlineStr">
        <is>
          <t xml:space="preserve">LUKOIL PJSC COMMON STOCK </t>
        </is>
      </c>
      <c r="C37" s="18" t="n">
        <v>121174.86</v>
      </c>
      <c r="D37" s="19">
        <f>C37/$C$119</f>
        <v/>
      </c>
      <c r="E37" s="20" t="inlineStr">
        <is>
          <t>X84D1F5</t>
        </is>
      </c>
    </row>
    <row r="38">
      <c r="A38" s="28" t="n"/>
      <c r="B38" s="27" t="inlineStr">
        <is>
          <t>Subtotal</t>
        </is>
      </c>
      <c r="C38" s="29">
        <f>+C37+C36</f>
        <v/>
      </c>
      <c r="D38" s="31">
        <f>C38/$C$122</f>
        <v/>
      </c>
      <c r="E38" s="20" t="n"/>
    </row>
    <row r="39">
      <c r="A39" s="28" t="n">
        <v>127190</v>
      </c>
      <c r="B39" s="2" t="inlineStr">
        <is>
          <t xml:space="preserve">EUROBANK ERGASIAS SERVICES AND HOLDINGS SA COMMON STOCK </t>
        </is>
      </c>
      <c r="C39" s="18" t="n">
        <v>290487.35</v>
      </c>
      <c r="D39" s="19">
        <f>C39/$C$119</f>
        <v/>
      </c>
      <c r="E39" s="20" t="inlineStr">
        <is>
          <t>BYZ43T4</t>
        </is>
      </c>
    </row>
    <row r="40">
      <c r="A40" s="28" t="n">
        <v>23805</v>
      </c>
      <c r="B40" s="2" t="inlineStr">
        <is>
          <t xml:space="preserve">SHOPRITE HOLDINGS LTD COMMON STOCK </t>
        </is>
      </c>
      <c r="C40" s="18" t="n">
        <v>285310.72</v>
      </c>
      <c r="D40" s="19">
        <f>C40/$C$119</f>
        <v/>
      </c>
      <c r="E40" s="20" t="inlineStr">
        <is>
          <t>6801575</t>
        </is>
      </c>
    </row>
    <row r="41">
      <c r="A41" s="28" t="n">
        <v>24898</v>
      </c>
      <c r="B41" s="2" t="inlineStr">
        <is>
          <t xml:space="preserve">SARANTIS SA </t>
        </is>
      </c>
      <c r="C41" s="18" t="n">
        <v>280862.47</v>
      </c>
      <c r="D41" s="19">
        <f>C41/$C$119</f>
        <v/>
      </c>
      <c r="E41" s="20" t="inlineStr">
        <is>
          <t>7124958</t>
        </is>
      </c>
    </row>
    <row r="42">
      <c r="A42" s="28" t="n">
        <v>23041</v>
      </c>
      <c r="B42" s="2" t="inlineStr">
        <is>
          <t xml:space="preserve">POWSZECHNY ZAKLAD UBEZPIECZEN SA COMMON STOCK </t>
        </is>
      </c>
      <c r="C42" s="18" t="n">
        <v>279154.16</v>
      </c>
      <c r="D42" s="19">
        <f>C42/$C$119</f>
        <v/>
      </c>
      <c r="E42" s="20" t="inlineStr">
        <is>
          <t>B63DG21</t>
        </is>
      </c>
    </row>
    <row r="43">
      <c r="A43" s="28" t="n">
        <v>155262</v>
      </c>
      <c r="B43" s="2" t="inlineStr">
        <is>
          <t>TURKCELL ILETISIM HIZMET AS</t>
        </is>
      </c>
      <c r="C43" s="18" t="n">
        <v>278283.26</v>
      </c>
      <c r="D43" s="19">
        <f>C43/$C$119</f>
        <v/>
      </c>
      <c r="E43" s="20" t="inlineStr">
        <is>
          <t>B03MYN3</t>
        </is>
      </c>
    </row>
    <row r="44">
      <c r="A44" s="28" t="n">
        <v>56454</v>
      </c>
      <c r="B44" s="2" t="inlineStr">
        <is>
          <t xml:space="preserve">MONETA MONEY BANK AS COMMON STOCK </t>
        </is>
      </c>
      <c r="C44" s="18" t="n">
        <v>272662.52</v>
      </c>
      <c r="D44" s="19">
        <f>C44/$C$119</f>
        <v/>
      </c>
      <c r="E44" s="20" t="inlineStr">
        <is>
          <t>BD3CQ16</t>
        </is>
      </c>
    </row>
    <row r="45">
      <c r="A45" s="28" t="n">
        <v>7292</v>
      </c>
      <c r="B45" s="2" t="inlineStr">
        <is>
          <t xml:space="preserve">BANK POLSKA KASA OPIEKI SA COMMON STOCK </t>
        </is>
      </c>
      <c r="C45" s="18" t="n">
        <v>265270.6</v>
      </c>
      <c r="D45" s="19">
        <f>C45/$C$119</f>
        <v/>
      </c>
      <c r="E45" s="20" t="inlineStr">
        <is>
          <t>5473113</t>
        </is>
      </c>
    </row>
    <row r="46">
      <c r="A46" s="28" t="n">
        <v>1247</v>
      </c>
      <c r="B46" s="2" t="inlineStr">
        <is>
          <t xml:space="preserve">ELM CO COMMON STOCK </t>
        </is>
      </c>
      <c r="C46" s="18" t="n">
        <v>252442.14</v>
      </c>
      <c r="D46" s="19">
        <f>C46/$C$119</f>
        <v/>
      </c>
      <c r="E46" s="20" t="inlineStr">
        <is>
          <t>BNYDSH8</t>
        </is>
      </c>
    </row>
    <row r="47">
      <c r="A47" s="28" t="n">
        <v>35367</v>
      </c>
      <c r="B47" s="2" t="inlineStr">
        <is>
          <t>ABSA GROUP LTD</t>
        </is>
      </c>
      <c r="C47" s="18" t="n">
        <v>251722.61</v>
      </c>
      <c r="D47" s="19">
        <f>C47/$C$119</f>
        <v/>
      </c>
      <c r="E47" s="20" t="inlineStr">
        <is>
          <t>BFX05H3</t>
        </is>
      </c>
    </row>
    <row r="48">
      <c r="A48" s="28" t="n">
        <v>15309</v>
      </c>
      <c r="B48" s="2" t="inlineStr">
        <is>
          <t xml:space="preserve">OPTIMA BANK SA COMMON STOCK </t>
        </is>
      </c>
      <c r="C48" s="18" t="n">
        <v>251307.76</v>
      </c>
      <c r="D48" s="19">
        <f>C48/$C$119</f>
        <v/>
      </c>
      <c r="E48" s="20" t="inlineStr">
        <is>
          <t>BL571C1</t>
        </is>
      </c>
    </row>
    <row r="49">
      <c r="A49" s="28" t="n">
        <v>11178</v>
      </c>
      <c r="B49" s="2" t="inlineStr">
        <is>
          <t xml:space="preserve">RICHTER GEDEON NYRT COMMON STOCK </t>
        </is>
      </c>
      <c r="C49" s="18" t="n">
        <v>242237</v>
      </c>
      <c r="D49" s="19">
        <f>C49/$C$119</f>
        <v/>
      </c>
      <c r="E49" s="20" t="inlineStr">
        <is>
          <t>BC9ZH86</t>
        </is>
      </c>
    </row>
    <row r="50">
      <c r="A50" s="28" t="n">
        <v>23094</v>
      </c>
      <c r="B50" s="2" t="inlineStr">
        <is>
          <t>BIDVEST GROUP LTD COMMON STOCK</t>
        </is>
      </c>
      <c r="C50" s="18" t="n">
        <v>231011.68</v>
      </c>
      <c r="D50" s="19">
        <f>C50/$C$119</f>
        <v/>
      </c>
      <c r="E50" s="20" t="inlineStr">
        <is>
          <t>6100089</t>
        </is>
      </c>
    </row>
    <row r="51">
      <c r="A51" s="28" t="n">
        <v>85774</v>
      </c>
      <c r="B51" s="2" t="inlineStr">
        <is>
          <t xml:space="preserve">EMAAR DEVELOPMENT PJSC COMMON STOCK </t>
        </is>
      </c>
      <c r="C51" s="18" t="n">
        <v>230313.46</v>
      </c>
      <c r="D51" s="19">
        <f>C51/$C$119</f>
        <v/>
      </c>
      <c r="E51" s="20" t="inlineStr">
        <is>
          <t>BDG1977</t>
        </is>
      </c>
    </row>
    <row r="52">
      <c r="A52" s="28" t="n">
        <v>43960</v>
      </c>
      <c r="B52" s="2" t="inlineStr">
        <is>
          <t xml:space="preserve">BANK OF CYPRUS HOLDINGS PLC COMMON STOCK </t>
        </is>
      </c>
      <c r="C52" s="18" t="n">
        <v>225001.66</v>
      </c>
      <c r="D52" s="19">
        <f>C52/$C$119</f>
        <v/>
      </c>
      <c r="E52" s="20" t="inlineStr">
        <is>
          <t>BN2BZT5</t>
        </is>
      </c>
    </row>
    <row r="53">
      <c r="A53" s="28" t="n">
        <v>182204</v>
      </c>
      <c r="B53" s="2" t="inlineStr">
        <is>
          <t xml:space="preserve">PARKIN CO PJSC COMMON STOCK </t>
        </is>
      </c>
      <c r="C53" s="18" t="n">
        <v>224755.92</v>
      </c>
      <c r="D53" s="19">
        <f>C53/$C$119</f>
        <v/>
      </c>
      <c r="E53" s="20" t="inlineStr">
        <is>
          <t>BRRGQF6</t>
        </is>
      </c>
    </row>
    <row r="54">
      <c r="A54" s="28" t="n">
        <v>43441</v>
      </c>
      <c r="B54" s="2" t="inlineStr">
        <is>
          <t xml:space="preserve">TURK HAVA YOLLARI AO COMMON STOCK </t>
        </is>
      </c>
      <c r="C54" s="18" t="n">
        <v>224307.9</v>
      </c>
      <c r="D54" s="19">
        <f>C54/$C$119</f>
        <v/>
      </c>
      <c r="E54" s="20" t="inlineStr">
        <is>
          <t>B03MYK0</t>
        </is>
      </c>
    </row>
    <row r="55">
      <c r="A55" s="28" t="n">
        <v>55815</v>
      </c>
      <c r="B55" s="2" t="inlineStr">
        <is>
          <t xml:space="preserve">ARABIAN CENTRES CO COMMON STOCK </t>
        </is>
      </c>
      <c r="C55" s="18" t="n">
        <v>217775.34</v>
      </c>
      <c r="D55" s="19">
        <f>C55/$C$119</f>
        <v/>
      </c>
      <c r="E55" s="20" t="inlineStr">
        <is>
          <t>BKBF694</t>
        </is>
      </c>
    </row>
    <row r="56">
      <c r="A56" s="28" t="n">
        <v>6520</v>
      </c>
      <c r="B56" s="2" t="inlineStr">
        <is>
          <t xml:space="preserve">BUPA ARABIA FOR COOPERATIVE INSURANCE CO COMMON STOCK </t>
        </is>
      </c>
      <c r="C56" s="18" t="n">
        <v>215216.07</v>
      </c>
      <c r="D56" s="19">
        <f>C56/$C$119</f>
        <v/>
      </c>
      <c r="E56" s="20" t="inlineStr">
        <is>
          <t>B2RLCR0</t>
        </is>
      </c>
    </row>
    <row r="57">
      <c r="A57" s="28" t="n">
        <v>23877</v>
      </c>
      <c r="B57" s="2" t="inlineStr">
        <is>
          <t xml:space="preserve">BIM BIRLESIK MAGAZALAR AS COMMON STOCK </t>
        </is>
      </c>
      <c r="C57" s="18" t="n">
        <v>214768.85</v>
      </c>
      <c r="D57" s="19">
        <f>C57/$C$119</f>
        <v/>
      </c>
      <c r="E57" s="20" t="inlineStr">
        <is>
          <t>B0D0006</t>
        </is>
      </c>
    </row>
    <row r="58">
      <c r="A58" s="28" t="n">
        <v>118565</v>
      </c>
      <c r="B58" s="2" t="inlineStr">
        <is>
          <t>EMIRATES INTEGRATED TELECOMMUNICATIONS CO PJSC COMMON STOCK</t>
        </is>
      </c>
      <c r="C58" s="18" t="n">
        <v>214235.56</v>
      </c>
      <c r="D58" s="19">
        <f>C58/$C$119</f>
        <v/>
      </c>
      <c r="E58" s="20" t="inlineStr">
        <is>
          <t>B13TMN7</t>
        </is>
      </c>
    </row>
    <row r="59">
      <c r="A59" s="28" t="n">
        <v>8860909</v>
      </c>
      <c r="B59" s="2" t="inlineStr">
        <is>
          <t xml:space="preserve">GAZPROM PJSC COMMON STOCK </t>
        </is>
      </c>
      <c r="C59" s="18" t="n">
        <v>189228.1</v>
      </c>
      <c r="D59" s="19">
        <f>C59/$C$119</f>
        <v/>
      </c>
      <c r="E59" s="20" t="inlineStr">
        <is>
          <t>X8C529A</t>
        </is>
      </c>
    </row>
    <row r="60">
      <c r="A60" s="28" t="n">
        <v>5365084</v>
      </c>
      <c r="B60" s="2" t="inlineStr">
        <is>
          <t>GAZPROM PJSC ADR</t>
        </is>
      </c>
      <c r="C60" s="18" t="n">
        <v>23130.47</v>
      </c>
      <c r="D60" s="19">
        <f>C60/$C$119</f>
        <v/>
      </c>
      <c r="E60" s="20" t="inlineStr">
        <is>
          <t>X84C976</t>
        </is>
      </c>
    </row>
    <row r="61">
      <c r="A61" s="28" t="n"/>
      <c r="B61" s="27" t="inlineStr">
        <is>
          <t>Subtotal</t>
        </is>
      </c>
      <c r="C61" s="29">
        <f>+C60+C59</f>
        <v/>
      </c>
      <c r="D61" s="31">
        <f>C61/$C$122</f>
        <v/>
      </c>
      <c r="E61" s="38" t="n"/>
    </row>
    <row r="62">
      <c r="A62" s="41" t="n">
        <v>1238</v>
      </c>
      <c r="B62" s="2" t="inlineStr">
        <is>
          <t xml:space="preserve">GRUPA KETY SA COMMON STOCK </t>
        </is>
      </c>
      <c r="C62" s="18" t="n">
        <v>212310.68</v>
      </c>
      <c r="D62" s="19">
        <f>C62/$C$119</f>
        <v/>
      </c>
      <c r="E62" s="38" t="inlineStr">
        <is>
          <t>5216385</t>
        </is>
      </c>
    </row>
    <row r="63">
      <c r="A63" s="41" t="n">
        <v>32435</v>
      </c>
      <c r="B63" s="2" t="inlineStr">
        <is>
          <t xml:space="preserve">MOL HUNGARIAN OIL &amp; GAS PLC COMMON STOCK </t>
        </is>
      </c>
      <c r="C63" s="18" t="n">
        <v>209516.69</v>
      </c>
      <c r="D63" s="19">
        <f>C63/$C$119</f>
        <v/>
      </c>
      <c r="E63" s="38" t="inlineStr">
        <is>
          <t>BD5ZXH8</t>
        </is>
      </c>
    </row>
    <row r="64">
      <c r="A64" s="41" t="n">
        <v>71</v>
      </c>
      <c r="B64" s="2" t="inlineStr">
        <is>
          <t>LPP SA COMMON STOCK</t>
        </is>
      </c>
      <c r="C64" s="18" t="n">
        <v>202748.16</v>
      </c>
      <c r="D64" s="19">
        <f>C64/$C$119</f>
        <v/>
      </c>
      <c r="E64" s="38" t="inlineStr">
        <is>
          <t>7127979</t>
        </is>
      </c>
    </row>
    <row r="65">
      <c r="A65" s="41" t="n">
        <v>14455036</v>
      </c>
      <c r="B65" s="2" t="inlineStr">
        <is>
          <t xml:space="preserve">SBERBANK OF RUSSIA PJSC PREFERENCE </t>
        </is>
      </c>
      <c r="C65" s="18" t="n">
        <v>170288.05</v>
      </c>
      <c r="D65" s="19">
        <f>C65/$C$119</f>
        <v/>
      </c>
      <c r="E65" s="38" t="inlineStr">
        <is>
          <t>X8C6155</t>
        </is>
      </c>
    </row>
    <row r="66">
      <c r="A66" s="41" t="n">
        <v>2355925</v>
      </c>
      <c r="B66" s="2" t="inlineStr">
        <is>
          <t>SBERBANK OF RUSSIA PJSC</t>
        </is>
      </c>
      <c r="C66" s="18" t="n">
        <v>27553.47</v>
      </c>
      <c r="D66" s="19">
        <f>C66/$C$119</f>
        <v/>
      </c>
      <c r="E66" s="38" t="inlineStr">
        <is>
          <t>X8C6398</t>
        </is>
      </c>
    </row>
    <row r="67">
      <c r="A67" s="41" t="n"/>
      <c r="B67" s="27" t="inlineStr">
        <is>
          <t>Subtotal</t>
        </is>
      </c>
      <c r="C67" s="29">
        <f>+C66+C65</f>
        <v/>
      </c>
      <c r="D67" s="31">
        <f>C67/$C$122</f>
        <v/>
      </c>
      <c r="E67" s="38" t="n"/>
    </row>
    <row r="68">
      <c r="A68" s="28" t="n">
        <v>8660</v>
      </c>
      <c r="B68" s="2" t="inlineStr">
        <is>
          <t xml:space="preserve">RAIFFEISEN BANK INTERNATIONAL AG COMMON STOCK </t>
        </is>
      </c>
      <c r="C68" s="18" t="n">
        <v>195232.86</v>
      </c>
      <c r="D68" s="19">
        <f>C68/$C$119</f>
        <v/>
      </c>
      <c r="E68" s="38" t="inlineStr">
        <is>
          <t>B0704T9</t>
        </is>
      </c>
    </row>
    <row r="69">
      <c r="A69" s="28" t="n">
        <v>196322</v>
      </c>
      <c r="B69" s="2" t="inlineStr">
        <is>
          <t xml:space="preserve">QATAR GAS TRANSPORT CO LTD COMMON STOCK </t>
        </is>
      </c>
      <c r="C69" s="18" t="n">
        <v>191521.15</v>
      </c>
      <c r="D69" s="19">
        <f>C69/$C$119</f>
        <v/>
      </c>
      <c r="E69" s="38" t="inlineStr">
        <is>
          <t>B0MLBC9</t>
        </is>
      </c>
    </row>
    <row r="70">
      <c r="A70" s="28" t="n">
        <v>20472</v>
      </c>
      <c r="B70" s="2" t="inlineStr">
        <is>
          <t xml:space="preserve">SAUDI GROUND SERVICES CO COMMON STOCK </t>
        </is>
      </c>
      <c r="C70" s="18" t="n">
        <v>188765.47</v>
      </c>
      <c r="D70" s="19">
        <f>C70/$C$119</f>
        <v/>
      </c>
      <c r="E70" s="38" t="inlineStr">
        <is>
          <t>BYYTJ69</t>
        </is>
      </c>
    </row>
    <row r="71">
      <c r="A71" s="28" t="n">
        <v>68238</v>
      </c>
      <c r="B71" s="2" t="inlineStr">
        <is>
          <t xml:space="preserve">ADES HOLDING CO COMMON STOCK </t>
        </is>
      </c>
      <c r="C71" s="18" t="n">
        <v>188018.11</v>
      </c>
      <c r="D71" s="19">
        <f>C71/$C$119</f>
        <v/>
      </c>
      <c r="E71" s="38" t="inlineStr">
        <is>
          <t>BR56KM3</t>
        </is>
      </c>
    </row>
    <row r="72">
      <c r="A72" s="28" t="n">
        <v>13207</v>
      </c>
      <c r="B72" s="2" t="inlineStr">
        <is>
          <t xml:space="preserve">UNITED INTERNATIONAL TRANSPORTATION CO COMMON STOCK </t>
        </is>
      </c>
      <c r="C72" s="18" t="n">
        <v>183253.35</v>
      </c>
      <c r="D72" s="19">
        <f>C72/$C$119</f>
        <v/>
      </c>
      <c r="E72" s="38" t="inlineStr">
        <is>
          <t>B2493D0</t>
        </is>
      </c>
    </row>
    <row r="73">
      <c r="A73" s="28" t="n">
        <v>27398</v>
      </c>
      <c r="B73" s="2" t="inlineStr">
        <is>
          <t xml:space="preserve">SAUDI AWWAL BANK COMMON STOCK </t>
        </is>
      </c>
      <c r="C73" s="18" t="n">
        <v>182227.77</v>
      </c>
      <c r="D73" s="19">
        <f>C73/$C$119</f>
        <v/>
      </c>
      <c r="E73" s="38" t="inlineStr">
        <is>
          <t>B12LSY7</t>
        </is>
      </c>
    </row>
    <row r="74">
      <c r="A74" s="28" t="n">
        <v>192692</v>
      </c>
      <c r="B74" s="2" t="inlineStr">
        <is>
          <t xml:space="preserve">ADNOC LOGISTICS &amp; SERVICES COMMON STOCK </t>
        </is>
      </c>
      <c r="C74" s="18" t="n">
        <v>180506.85</v>
      </c>
      <c r="D74" s="19">
        <f>C74/$C$119</f>
        <v/>
      </c>
      <c r="E74" s="38" t="inlineStr">
        <is>
          <t>BRBN103</t>
        </is>
      </c>
    </row>
    <row r="75">
      <c r="A75" s="28" t="n">
        <v>21418</v>
      </c>
      <c r="B75" s="2" t="inlineStr">
        <is>
          <t>ATHENS INTERNATIONAL AIRPORT SA COMMON STOCK</t>
        </is>
      </c>
      <c r="C75" s="18" t="n">
        <v>180122.87</v>
      </c>
      <c r="D75" s="19">
        <f>C75/$C$119</f>
        <v/>
      </c>
      <c r="E75" s="38" t="inlineStr">
        <is>
          <t>BPYS8N3</t>
        </is>
      </c>
    </row>
    <row r="76">
      <c r="A76" s="41" t="n">
        <v>169475</v>
      </c>
      <c r="B76" s="2" t="inlineStr">
        <is>
          <t>ADNOC DRILLING CO PJSC COMMON STOCK</t>
        </is>
      </c>
      <c r="C76" s="33" t="n">
        <v>179629.21</v>
      </c>
      <c r="D76" s="19">
        <f>C76/$C$119</f>
        <v/>
      </c>
      <c r="E76" s="38" t="inlineStr">
        <is>
          <t>BN12D39</t>
        </is>
      </c>
    </row>
    <row r="77">
      <c r="A77" s="28" t="n">
        <v>41881</v>
      </c>
      <c r="B77" s="2" t="inlineStr">
        <is>
          <t>ARAB NATIONAL BANK COMMON STOCK</t>
        </is>
      </c>
      <c r="C77" s="18" t="n">
        <v>178640.16</v>
      </c>
      <c r="D77" s="19">
        <f>C77/$C$119</f>
        <v/>
      </c>
      <c r="E77" s="38" t="inlineStr">
        <is>
          <t>B12LZK2</t>
        </is>
      </c>
    </row>
    <row r="78">
      <c r="A78" s="28" t="n">
        <v>573074</v>
      </c>
      <c r="B78" s="2" t="inlineStr">
        <is>
          <t xml:space="preserve">TURKIYE SIGORTA AS COMMON STOCK </t>
        </is>
      </c>
      <c r="C78" s="18" t="n">
        <v>178573.06</v>
      </c>
      <c r="D78" s="19">
        <f>C78/$C$119</f>
        <v/>
      </c>
      <c r="E78" s="38" t="inlineStr">
        <is>
          <t>B03MTD8</t>
        </is>
      </c>
    </row>
    <row r="79">
      <c r="A79" s="28" t="n">
        <v>6309</v>
      </c>
      <c r="B79" s="2" t="inlineStr">
        <is>
          <t xml:space="preserve">RIYADH CABLES GROUP CO COMMON STOCK </t>
        </is>
      </c>
      <c r="C79" s="18" t="n">
        <v>173334.88</v>
      </c>
      <c r="D79" s="19">
        <f>C79/$C$119</f>
        <v/>
      </c>
      <c r="E79" s="38" t="inlineStr">
        <is>
          <t>BNBPXW7</t>
        </is>
      </c>
    </row>
    <row r="80">
      <c r="A80" s="28" t="n">
        <v>44675</v>
      </c>
      <c r="B80" s="2" t="inlineStr">
        <is>
          <t xml:space="preserve">AVI LTD COMMON STOCK </t>
        </is>
      </c>
      <c r="C80" s="18" t="n">
        <v>173277.37</v>
      </c>
      <c r="D80" s="19">
        <f>C80/$C$119</f>
        <v/>
      </c>
      <c r="E80" s="38" t="inlineStr">
        <is>
          <t>6040958</t>
        </is>
      </c>
    </row>
    <row r="81">
      <c r="A81" s="28" t="n">
        <v>6082</v>
      </c>
      <c r="B81" s="2" t="inlineStr">
        <is>
          <t xml:space="preserve">CO FOR COOPERATIVE INSURANCE/THE COMMON STOCK </t>
        </is>
      </c>
      <c r="C81" s="18" t="n">
        <v>166376.94</v>
      </c>
      <c r="D81" s="19">
        <f>C81/$C$119</f>
        <v/>
      </c>
      <c r="E81" s="38" t="inlineStr">
        <is>
          <t>B128FN6</t>
        </is>
      </c>
    </row>
    <row r="82">
      <c r="A82" s="28" t="n">
        <v>1268490</v>
      </c>
      <c r="B82" s="2" t="inlineStr">
        <is>
          <t xml:space="preserve">NOVATEK PJSC COMMON STOCK </t>
        </is>
      </c>
      <c r="C82" s="18" t="n">
        <v>151817.19</v>
      </c>
      <c r="D82" s="19">
        <f>C82/$C$119</f>
        <v/>
      </c>
      <c r="E82" s="38" t="inlineStr">
        <is>
          <t>X84C972</t>
        </is>
      </c>
    </row>
    <row r="83">
      <c r="A83" s="28" t="n">
        <v>103572</v>
      </c>
      <c r="B83" s="2" t="inlineStr">
        <is>
          <t xml:space="preserve">NOVATEK PJSC COMMON STOCK </t>
        </is>
      </c>
      <c r="C83" s="18" t="n">
        <v>11793.29</v>
      </c>
      <c r="D83" s="19">
        <f>C83/$C$119</f>
        <v/>
      </c>
      <c r="E83" s="38" t="inlineStr">
        <is>
          <t>X84C970</t>
        </is>
      </c>
    </row>
    <row r="84">
      <c r="A84" s="28" t="n"/>
      <c r="B84" s="27" t="inlineStr">
        <is>
          <t>Subtotal</t>
        </is>
      </c>
      <c r="C84" s="29">
        <f>+C83+C82</f>
        <v/>
      </c>
      <c r="D84" s="31">
        <f>C84/$C$122</f>
        <v/>
      </c>
      <c r="E84" s="38" t="n"/>
    </row>
    <row r="85">
      <c r="A85" s="28" t="n">
        <v>2076</v>
      </c>
      <c r="B85" s="2" t="inlineStr">
        <is>
          <t xml:space="preserve">KRUK SA COMMON STOCK </t>
        </is>
      </c>
      <c r="C85" s="18" t="n">
        <v>161156.09</v>
      </c>
      <c r="D85" s="19">
        <f>C85/$C$119</f>
        <v/>
      </c>
      <c r="E85" s="38" t="inlineStr">
        <is>
          <t>B4PTLY0</t>
        </is>
      </c>
    </row>
    <row r="86">
      <c r="A86" s="28" t="n">
        <v>6262</v>
      </c>
      <c r="B86" s="2" t="inlineStr">
        <is>
          <t xml:space="preserve">LEEJAM SPORTS CO JSC COMMON STOCK </t>
        </is>
      </c>
      <c r="C86" s="18" t="n">
        <v>157190.9</v>
      </c>
      <c r="D86" s="19">
        <f>C86/$C$119</f>
        <v/>
      </c>
      <c r="E86" s="38" t="inlineStr">
        <is>
          <t>BF12ZV5</t>
        </is>
      </c>
    </row>
    <row r="87">
      <c r="A87" s="28" t="n">
        <v>234111</v>
      </c>
      <c r="B87" s="2" t="inlineStr">
        <is>
          <t xml:space="preserve">TECOM GROUP PJSC COMMON STOCK </t>
        </is>
      </c>
      <c r="C87" s="18" t="n">
        <v>148882.75</v>
      </c>
      <c r="D87" s="19">
        <f>C87/$C$119</f>
        <v/>
      </c>
      <c r="E87" s="38" t="inlineStr">
        <is>
          <t>BLDC8Q1</t>
        </is>
      </c>
    </row>
    <row r="88">
      <c r="A88" s="28" t="n">
        <v>6134</v>
      </c>
      <c r="B88" s="2" t="inlineStr">
        <is>
          <t xml:space="preserve">ALDREES PETROLEUM AND TRANSPORT SERVICES CO COMMON STOCK </t>
        </is>
      </c>
      <c r="C88" s="18" t="n">
        <v>148158.17</v>
      </c>
      <c r="D88" s="19">
        <f>C88/$C$119</f>
        <v/>
      </c>
      <c r="E88" s="38" t="inlineStr">
        <is>
          <t>B128FF8</t>
        </is>
      </c>
    </row>
    <row r="89">
      <c r="A89" s="28" t="n">
        <v>2568</v>
      </c>
      <c r="B89" s="2" t="inlineStr">
        <is>
          <t xml:space="preserve">SAUDIA DAIRY &amp; FOODSTUFF CO COMMON STOCK </t>
        </is>
      </c>
      <c r="C89" s="18" t="n">
        <v>144051.58</v>
      </c>
      <c r="D89" s="19">
        <f>C89/$C$119</f>
        <v/>
      </c>
      <c r="E89" s="38" t="inlineStr">
        <is>
          <t>B133P41</t>
        </is>
      </c>
    </row>
    <row r="90">
      <c r="A90" s="28" t="n">
        <v>94560</v>
      </c>
      <c r="B90" s="2" t="inlineStr">
        <is>
          <t xml:space="preserve">FORD OTOMOTIV SANAYI AS COMMON STOCK </t>
        </is>
      </c>
      <c r="C90" s="18" t="n">
        <v>143127.98</v>
      </c>
      <c r="D90" s="19">
        <f>C90/$C$119</f>
        <v/>
      </c>
      <c r="E90" s="38" t="inlineStr">
        <is>
          <t>B03MSR5</t>
        </is>
      </c>
    </row>
    <row r="91">
      <c r="A91" s="28" t="n">
        <v>7008</v>
      </c>
      <c r="B91" s="2" t="inlineStr">
        <is>
          <t xml:space="preserve">SAUDI ARAMCO BASE OIL CO COMMON STOCK </t>
        </is>
      </c>
      <c r="C91" s="18" t="n">
        <v>137270.87</v>
      </c>
      <c r="D91" s="19">
        <f>C91/$C$119</f>
        <v/>
      </c>
      <c r="E91" s="38" t="inlineStr">
        <is>
          <t>BMDKMB5</t>
        </is>
      </c>
    </row>
    <row r="92">
      <c r="A92" s="28" t="n">
        <v>27608</v>
      </c>
      <c r="B92" s="2" t="inlineStr">
        <is>
          <t xml:space="preserve">BANCA TRANSILVANIA SA COMMON STOCK </t>
        </is>
      </c>
      <c r="C92" s="18" t="n">
        <v>136794.54</v>
      </c>
      <c r="D92" s="19">
        <f>C92/$C$119</f>
        <v/>
      </c>
      <c r="E92" s="38" t="inlineStr">
        <is>
          <t>5393307</t>
        </is>
      </c>
    </row>
    <row r="93">
      <c r="A93" s="28" t="n">
        <v>7795</v>
      </c>
      <c r="B93" s="2" t="inlineStr">
        <is>
          <t>UNITED ELECTRONICS CO COMMON STOCK</t>
        </is>
      </c>
      <c r="C93" s="18" t="n">
        <v>133735.43</v>
      </c>
      <c r="D93" s="19">
        <f>C93/$C$119</f>
        <v/>
      </c>
      <c r="E93" s="38" t="inlineStr">
        <is>
          <t>B4P2SD7</t>
        </is>
      </c>
    </row>
    <row r="94">
      <c r="A94" s="28" t="n">
        <v>7119200</v>
      </c>
      <c r="B94" s="2" t="inlineStr">
        <is>
          <t xml:space="preserve">MMC NORILSK NICKEL PJSC COMMON STOCK </t>
        </is>
      </c>
      <c r="C94" s="18" t="n">
        <v>127424.15</v>
      </c>
      <c r="D94" s="19">
        <f>C94/$C$119</f>
        <v/>
      </c>
      <c r="E94" s="38" t="inlineStr">
        <is>
          <t>X84C977</t>
        </is>
      </c>
    </row>
    <row r="95">
      <c r="A95" s="28" t="n">
        <v>6774</v>
      </c>
      <c r="B95" s="2" t="inlineStr">
        <is>
          <t xml:space="preserve">JERONIMO MARTINS SGPS SA COMMON STOCK </t>
        </is>
      </c>
      <c r="C95" s="18" t="n">
        <v>126368.67</v>
      </c>
      <c r="D95" s="19">
        <f>C95/$C$119</f>
        <v/>
      </c>
      <c r="E95" s="38" t="inlineStr">
        <is>
          <t>B1Y1SQ7</t>
        </is>
      </c>
    </row>
    <row r="96">
      <c r="A96" s="28" t="n">
        <v>4593</v>
      </c>
      <c r="B96" s="2" t="inlineStr">
        <is>
          <t xml:space="preserve">ALKHORAYEF WATER &amp; POWER TECHNOLOGIES CO COMMON STOCK </t>
        </is>
      </c>
      <c r="C96" s="18" t="n">
        <v>125099.71</v>
      </c>
      <c r="D96" s="19">
        <f>C96/$C$119</f>
        <v/>
      </c>
      <c r="E96" s="38" t="inlineStr">
        <is>
          <t>BN33QN1</t>
        </is>
      </c>
    </row>
    <row r="97">
      <c r="A97" s="28" t="n">
        <v>2439</v>
      </c>
      <c r="B97" s="2" t="inlineStr">
        <is>
          <t xml:space="preserve">TBC BANK GROUP PLC COMMON STOCK </t>
        </is>
      </c>
      <c r="C97" s="18" t="n">
        <v>108901.35</v>
      </c>
      <c r="D97" s="19">
        <f>C97/$C$119</f>
        <v/>
      </c>
      <c r="E97" s="38" t="inlineStr">
        <is>
          <t>BYT1830</t>
        </is>
      </c>
    </row>
    <row r="98">
      <c r="A98" s="28" t="n">
        <v>53407</v>
      </c>
      <c r="B98" s="2" t="inlineStr">
        <is>
          <t xml:space="preserve">TURKIYE GARANTI BANKASI AS COMMON STOCK </t>
        </is>
      </c>
      <c r="C98" s="18" t="n">
        <v>106875.64</v>
      </c>
      <c r="D98" s="19">
        <f>C98/$C$119</f>
        <v/>
      </c>
      <c r="E98" s="38" t="inlineStr">
        <is>
          <t>B03MYP5</t>
        </is>
      </c>
    </row>
    <row r="99">
      <c r="A99" s="28" t="n">
        <v>2041744</v>
      </c>
      <c r="B99" s="2" t="inlineStr">
        <is>
          <t xml:space="preserve">ROSNEFT OIL CO PJSC COMMON STOCK </t>
        </is>
      </c>
      <c r="C99" s="18" t="n">
        <v>56358.1</v>
      </c>
      <c r="D99" s="19">
        <f>C99/$C$119</f>
        <v/>
      </c>
      <c r="E99" s="38" t="inlineStr">
        <is>
          <t>X84C971</t>
        </is>
      </c>
    </row>
    <row r="100">
      <c r="A100" s="28" t="n">
        <v>1677948</v>
      </c>
      <c r="B100" s="2" t="inlineStr">
        <is>
          <t xml:space="preserve">ROSNEFT OIL CO PJSC COMMON STOCK </t>
        </is>
      </c>
      <c r="C100" s="18" t="n">
        <v>48741.79</v>
      </c>
      <c r="D100" s="19">
        <f>C100/$C$119</f>
        <v/>
      </c>
      <c r="E100" s="38" t="inlineStr">
        <is>
          <t>X84D1F9</t>
        </is>
      </c>
    </row>
    <row r="101">
      <c r="A101" s="28" t="n"/>
      <c r="B101" s="27" t="inlineStr">
        <is>
          <t>Subtotal</t>
        </is>
      </c>
      <c r="C101" s="29">
        <f>+C100+C99</f>
        <v/>
      </c>
      <c r="D101" s="31">
        <f>C101/$C$122</f>
        <v/>
      </c>
      <c r="E101" s="38" t="n"/>
    </row>
    <row r="102">
      <c r="A102" s="28" t="n">
        <v>3657350</v>
      </c>
      <c r="B102" s="2" t="inlineStr">
        <is>
          <t xml:space="preserve">NOVOLIPETSK STEEL PJSC COMMON STOCK </t>
        </is>
      </c>
      <c r="C102" s="18" t="n">
        <v>64675.54</v>
      </c>
      <c r="D102" s="19">
        <f>C102/$C$119</f>
        <v/>
      </c>
      <c r="E102" s="38" t="inlineStr">
        <is>
          <t>X84C97E</t>
        </is>
      </c>
    </row>
    <row r="103">
      <c r="A103" s="28" t="n">
        <v>180877</v>
      </c>
      <c r="B103" s="2" t="inlineStr">
        <is>
          <t xml:space="preserve">MAGNIT PJSC COMMON STOCK </t>
        </is>
      </c>
      <c r="C103" s="18" t="n">
        <v>50251.54</v>
      </c>
      <c r="D103" s="19">
        <f>C103/$C$119</f>
        <v/>
      </c>
      <c r="E103" s="38" t="inlineStr">
        <is>
          <t>X8C505A</t>
        </is>
      </c>
    </row>
    <row r="104">
      <c r="A104" s="28" t="n">
        <v>1265335</v>
      </c>
      <c r="B104" s="2" t="inlineStr">
        <is>
          <t>GAZPROM NEFT PJSC COMMON STOCK</t>
        </is>
      </c>
      <c r="C104" s="18" t="n">
        <v>45410.7</v>
      </c>
      <c r="D104" s="19">
        <f>C104/$C$119</f>
        <v/>
      </c>
      <c r="E104" s="38" t="inlineStr">
        <is>
          <t>X84D1F6</t>
        </is>
      </c>
    </row>
    <row r="105">
      <c r="A105" s="28" t="n">
        <v>730066</v>
      </c>
      <c r="B105" s="2" t="inlineStr">
        <is>
          <t>TATNEFT PJSC COMMON STOCK</t>
        </is>
      </c>
      <c r="C105" s="18" t="n">
        <v>24558.87</v>
      </c>
      <c r="D105" s="19">
        <f>C105/$C$119</f>
        <v/>
      </c>
      <c r="E105" s="38" t="inlineStr">
        <is>
          <t>X84C973</t>
        </is>
      </c>
    </row>
    <row r="106">
      <c r="A106" s="28" t="n">
        <v>571359</v>
      </c>
      <c r="B106" s="2" t="inlineStr">
        <is>
          <t xml:space="preserve">TATNEFT PJSC PREFERENCE </t>
        </is>
      </c>
      <c r="C106" s="18" t="n">
        <v>17020.74</v>
      </c>
      <c r="D106" s="19">
        <f>C106/$C$119</f>
        <v/>
      </c>
      <c r="E106" s="38" t="inlineStr">
        <is>
          <t>X8C6150</t>
        </is>
      </c>
    </row>
    <row r="107">
      <c r="A107" s="28" t="n"/>
      <c r="B107" s="27" t="inlineStr">
        <is>
          <t>Subtotal</t>
        </is>
      </c>
      <c r="C107" s="29">
        <f>+C106+C105</f>
        <v/>
      </c>
      <c r="D107" s="31">
        <f>C107/$C$122</f>
        <v/>
      </c>
      <c r="E107" s="38" t="n"/>
    </row>
    <row r="108">
      <c r="A108" s="46" t="n">
        <v>6156103</v>
      </c>
      <c r="B108" s="45" t="inlineStr">
        <is>
          <t>ROSTELECOM PJSC COMMON STOCK</t>
        </is>
      </c>
      <c r="C108" s="47" t="n">
        <v>39171.35</v>
      </c>
      <c r="D108" s="19">
        <f>C108/$C$119</f>
        <v/>
      </c>
      <c r="E108" s="38" t="inlineStr">
        <is>
          <t>X84C978</t>
        </is>
      </c>
    </row>
    <row r="109">
      <c r="A109" s="46" t="n">
        <v>4246654</v>
      </c>
      <c r="B109" s="45" t="inlineStr">
        <is>
          <t xml:space="preserve">VTB BANK PJSC COMMON STOCK </t>
        </is>
      </c>
      <c r="C109" s="47" t="n">
        <v>38103.53</v>
      </c>
      <c r="D109" s="19">
        <f>C109/$C$119</f>
        <v/>
      </c>
      <c r="E109" s="38" t="inlineStr">
        <is>
          <t>X8C6392</t>
        </is>
      </c>
    </row>
    <row r="110">
      <c r="A110" s="46" t="n">
        <v>297730</v>
      </c>
      <c r="B110" s="45" t="inlineStr">
        <is>
          <t xml:space="preserve">POLYUS PJSC COMMON STOCK </t>
        </is>
      </c>
      <c r="C110" s="47" t="n">
        <v>31236.03</v>
      </c>
      <c r="D110" s="19">
        <f>C110/$C$119</f>
        <v/>
      </c>
      <c r="E110" s="38" t="inlineStr">
        <is>
          <t>X84D1F8</t>
        </is>
      </c>
    </row>
    <row r="111">
      <c r="A111" s="46" t="n">
        <v>432517</v>
      </c>
      <c r="B111" s="45" t="inlineStr">
        <is>
          <t xml:space="preserve">MD MEDICAL GROUP INVESTMENTS PLC GDR </t>
        </is>
      </c>
      <c r="C111" s="47" t="n">
        <v>18281.47</v>
      </c>
      <c r="D111" s="19">
        <f>C111/$C$119</f>
        <v/>
      </c>
      <c r="E111" s="38" t="inlineStr">
        <is>
          <t>X8C6397</t>
        </is>
      </c>
    </row>
    <row r="112">
      <c r="A112" s="46" t="n">
        <v>12313057</v>
      </c>
      <c r="B112" s="45" t="inlineStr">
        <is>
          <t xml:space="preserve">SISTEMA PJSFC COMMON STOCK </t>
        </is>
      </c>
      <c r="C112" s="47" t="n">
        <v>13740.71</v>
      </c>
      <c r="D112" s="19">
        <f>C112/$C$119</f>
        <v/>
      </c>
      <c r="E112" s="38" t="inlineStr">
        <is>
          <t>X84D1F7</t>
        </is>
      </c>
    </row>
    <row r="113">
      <c r="A113" s="46" t="n">
        <v>577525</v>
      </c>
      <c r="B113" s="45" t="inlineStr">
        <is>
          <t>FIX PRICE GROUP LTD GDR</t>
        </is>
      </c>
      <c r="C113" s="47" t="n">
        <v>4025.61</v>
      </c>
      <c r="D113" s="19">
        <f>C113/$C$119</f>
        <v/>
      </c>
      <c r="E113" s="38" t="inlineStr">
        <is>
          <t>X84CF24</t>
        </is>
      </c>
    </row>
    <row r="114">
      <c r="A114" s="46" t="n">
        <v>75226</v>
      </c>
      <c r="B114" s="45" t="inlineStr">
        <is>
          <t>TCS GROUP HOLDING PLC GDR</t>
        </is>
      </c>
      <c r="C114" s="47" t="n">
        <v>1781.15</v>
      </c>
      <c r="D114" s="19">
        <f>C114/$C$119</f>
        <v/>
      </c>
      <c r="E114" s="38" t="inlineStr">
        <is>
          <t>X8C4FD3</t>
        </is>
      </c>
    </row>
    <row r="115">
      <c r="A115" s="46" t="n">
        <v>275182</v>
      </c>
      <c r="B115" s="45" t="inlineStr">
        <is>
          <t>X 5 RETAIL GROUP NV-REGS GDR</t>
        </is>
      </c>
      <c r="C115" s="47" t="n">
        <v>1084.36</v>
      </c>
      <c r="D115" s="19">
        <f>C115/$C$119</f>
        <v/>
      </c>
      <c r="E115" s="38" t="inlineStr">
        <is>
          <t>X8C4FD9</t>
        </is>
      </c>
    </row>
    <row r="116">
      <c r="A116" s="46" t="n">
        <v>1011.54</v>
      </c>
      <c r="B116" s="45" t="inlineStr">
        <is>
          <t>JPM USD LIQUIDITY LVNAV X (DIST.)</t>
        </is>
      </c>
      <c r="C116" s="47" t="n">
        <v>750.09</v>
      </c>
      <c r="D116" s="19">
        <f>C116/$C$119</f>
        <v/>
      </c>
      <c r="E116" s="38" t="inlineStr">
        <is>
          <t>7253766</t>
        </is>
      </c>
    </row>
    <row r="117">
      <c r="A117" s="46" t="n">
        <v>552780</v>
      </c>
      <c r="B117" s="45" t="inlineStr">
        <is>
          <t>SEVERSTAL PAO GDR</t>
        </is>
      </c>
      <c r="C117" s="47" t="n">
        <v>246.35</v>
      </c>
      <c r="D117" s="19">
        <f>C117/$C$119</f>
        <v/>
      </c>
      <c r="E117" s="38" t="inlineStr">
        <is>
          <t>X84C975</t>
        </is>
      </c>
    </row>
    <row r="118">
      <c r="A118" s="28" t="n"/>
      <c r="B118" s="2" t="n"/>
      <c r="C118" s="18" t="n"/>
      <c r="D118" s="19" t="n"/>
      <c r="E118" s="38" t="n"/>
    </row>
    <row r="119">
      <c r="A119" s="28" t="n"/>
      <c r="B119" s="21" t="inlineStr">
        <is>
          <t>Total portfolio</t>
        </is>
      </c>
      <c r="C119" s="39">
        <f>SUM(C12:C37)+SUM(C39:C60)+SUM(C62:C66)+SUM(C68:C83)+SUM(C85:C100)+SUM(C102:C106)+SUM(C108:C117)</f>
        <v/>
      </c>
      <c r="D119" s="19">
        <f>C119/$C$122</f>
        <v/>
      </c>
      <c r="E119" s="20" t="n"/>
      <c r="H119" s="48" t="n"/>
    </row>
    <row r="120">
      <c r="A120" s="28" t="n"/>
      <c r="B120" s="21" t="inlineStr">
        <is>
          <t>Net Current Assets</t>
        </is>
      </c>
      <c r="C120" s="39" t="n">
        <v>514759.68</v>
      </c>
      <c r="D120" s="19">
        <f>C120/$C$122</f>
        <v/>
      </c>
      <c r="E120" s="20" t="n"/>
    </row>
    <row r="121">
      <c r="A121" s="28" t="n"/>
      <c r="B121" s="21" t="n"/>
      <c r="C121" s="39" t="n"/>
      <c r="D121" s="32" t="n"/>
      <c r="E121" s="20" t="n"/>
    </row>
    <row r="122">
      <c r="A122" s="17" t="n"/>
      <c r="B122" s="21" t="inlineStr">
        <is>
          <t>Total Assets</t>
        </is>
      </c>
      <c r="C122" s="22">
        <f>C119+C120</f>
        <v/>
      </c>
      <c r="D122" s="19">
        <f>C122/$C$122</f>
        <v/>
      </c>
      <c r="E122" s="3" t="n"/>
    </row>
    <row r="123" ht="12.75" customHeight="1" s="42">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sheetData>
  <mergeCells count="2">
    <mergeCell ref="A123:E126"/>
    <mergeCell ref="A3:E6"/>
  </mergeCells>
  <conditionalFormatting sqref="B12:B14">
    <cfRule type="containsText" priority="2" operator="containsText" dxfId="0" text="LIQUIDITY">
      <formula>NOT(ISERROR(SEARCH("LIQUIDITY",B12)))</formula>
    </cfRule>
  </conditionalFormatting>
  <conditionalFormatting sqref="B16:B118">
    <cfRule type="containsText" priority="1" operator="containsText" dxfId="0" text="LIQUIDITY">
      <formula>NOT(ISERROR(SEARCH("LIQUIDITY",B16)))</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29"/>
  <sheetViews>
    <sheetView topLeftCell="A103" workbookViewId="0">
      <selection activeCell="B123" sqref="B123"/>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April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42943</v>
      </c>
      <c r="B12" s="2" t="inlineStr">
        <is>
          <t>AL RAJHI BANK COMMON STOCK SAR 10</t>
        </is>
      </c>
      <c r="C12" s="18" t="n">
        <v>834847.0600000001</v>
      </c>
      <c r="D12" s="19">
        <f>C12/$C$122</f>
        <v/>
      </c>
      <c r="E12" s="20" t="inlineStr">
        <is>
          <t>B12LZH9</t>
        </is>
      </c>
    </row>
    <row r="13">
      <c r="A13" s="41" t="n">
        <v>33759</v>
      </c>
      <c r="B13" s="2" t="inlineStr">
        <is>
          <t>GOLD FIELDS LTD COMMON STOCK ZAR 50</t>
        </is>
      </c>
      <c r="C13" s="18" t="n">
        <v>568876.63</v>
      </c>
      <c r="D13" s="19">
        <f>C13/$C$122</f>
        <v/>
      </c>
      <c r="E13" s="20" t="inlineStr">
        <is>
          <t>6280215</t>
        </is>
      </c>
    </row>
    <row r="14">
      <c r="A14" s="41" t="n">
        <v>56252</v>
      </c>
      <c r="B14" s="2" t="inlineStr">
        <is>
          <t>STANDARD BANK GROUP LTD COMMON STOCK ZAR 10</t>
        </is>
      </c>
      <c r="C14" s="18" t="n">
        <v>524372.59</v>
      </c>
      <c r="D14" s="19">
        <f>C14/$C$122</f>
        <v/>
      </c>
      <c r="E14" s="20" t="inlineStr">
        <is>
          <t>B030GJ7</t>
        </is>
      </c>
    </row>
    <row r="15">
      <c r="A15" s="41" t="n">
        <v>28022</v>
      </c>
      <c r="B15" s="45" t="inlineStr">
        <is>
          <t>HALYK SAVINGS BANK OF KAZAKHSTAN JSC GDR USD</t>
        </is>
      </c>
      <c r="C15" s="33" t="n">
        <v>506649.17</v>
      </c>
      <c r="D15" s="19">
        <f>C15/$C$122</f>
        <v/>
      </c>
      <c r="E15" s="20" t="inlineStr">
        <is>
          <t>B1KDG41</t>
        </is>
      </c>
    </row>
    <row r="16">
      <c r="A16" s="41" t="n">
        <v>142756</v>
      </c>
      <c r="B16" s="2" t="inlineStr">
        <is>
          <t>QATAR NATIONAL BANK QPSC COMMON STOCK QAR 1</t>
        </is>
      </c>
      <c r="C16" s="18" t="n">
        <v>486099.41</v>
      </c>
      <c r="D16" s="19">
        <f>C16/$C$122</f>
        <v/>
      </c>
      <c r="E16" s="20" t="inlineStr">
        <is>
          <t>6148197</t>
        </is>
      </c>
    </row>
    <row r="17">
      <c r="A17" s="41" t="n">
        <v>8780</v>
      </c>
      <c r="B17" s="2" t="inlineStr">
        <is>
          <t>OTP BANK NYRT COMMON STOCK HUF 100</t>
        </is>
      </c>
      <c r="C17" s="18" t="n">
        <v>484445.83</v>
      </c>
      <c r="D17" s="19">
        <f>C17/$C$122</f>
        <v/>
      </c>
      <c r="E17" s="20" t="inlineStr">
        <is>
          <t>7320154</t>
        </is>
      </c>
    </row>
    <row r="18">
      <c r="A18" s="41" t="n">
        <v>181376</v>
      </c>
      <c r="B18" s="2" t="inlineStr">
        <is>
          <t>EMAAR PROPERTIES PJSC COMMON STOCK AED 1</t>
        </is>
      </c>
      <c r="C18" s="33" t="n">
        <v>484300.98</v>
      </c>
      <c r="D18" s="19">
        <f>C18/$C$122</f>
        <v/>
      </c>
      <c r="E18" s="20" t="inlineStr">
        <is>
          <t>B01RM25</t>
        </is>
      </c>
    </row>
    <row r="19">
      <c r="A19" s="41" t="n">
        <v>59480</v>
      </c>
      <c r="B19" s="2" t="inlineStr">
        <is>
          <t>NATIONAL BANK OF GREECE SA COMMON STOCK EUR 1</t>
        </is>
      </c>
      <c r="C19" s="33" t="n">
        <v>470163.81</v>
      </c>
      <c r="D19" s="19">
        <f>C19/$C$122</f>
        <v/>
      </c>
      <c r="E19" s="20" t="inlineStr">
        <is>
          <t>BG087C6</t>
        </is>
      </c>
    </row>
    <row r="20">
      <c r="A20" s="41" t="n">
        <v>2386</v>
      </c>
      <c r="B20" s="2" t="inlineStr">
        <is>
          <t>NASPERS LTD COMMON STOCK ZAR 2</t>
        </is>
      </c>
      <c r="C20" s="18" t="n">
        <v>469693.82</v>
      </c>
      <c r="D20" s="19">
        <f>C20/$C$122</f>
        <v/>
      </c>
      <c r="E20" s="20" t="inlineStr">
        <is>
          <t>BN0VX82</t>
        </is>
      </c>
    </row>
    <row r="21">
      <c r="A21" s="41" t="n">
        <v>117334</v>
      </c>
      <c r="B21" s="2" t="inlineStr">
        <is>
          <t>ABU DHABI ISLAMIC BANK PJSC COMMON STOCK AED 1</t>
        </is>
      </c>
      <c r="C21" s="18" t="n">
        <v>436705.72</v>
      </c>
      <c r="D21" s="19">
        <f>C21/$C$122</f>
        <v/>
      </c>
      <c r="E21" s="20" t="inlineStr">
        <is>
          <t>6001728</t>
        </is>
      </c>
    </row>
    <row r="22">
      <c r="A22" s="41" t="n">
        <v>29624</v>
      </c>
      <c r="B22" s="2" t="inlineStr">
        <is>
          <t>POWSZECHNA KASA OSZCZEDNOSCI BANK POLSKI SA COMMON STOCK PLN 1</t>
        </is>
      </c>
      <c r="C22" s="18" t="n">
        <v>426632.32</v>
      </c>
      <c r="D22" s="19">
        <f>C22/$C$122</f>
        <v/>
      </c>
      <c r="E22" s="20" t="inlineStr">
        <is>
          <t>B03NGS5</t>
        </is>
      </c>
    </row>
    <row r="23">
      <c r="A23" s="41" t="n">
        <v>35872</v>
      </c>
      <c r="B23" s="2" t="inlineStr">
        <is>
          <t>HARMONY GOLD MINING CO LTD COMMON STOCK ZAR 50</t>
        </is>
      </c>
      <c r="C23" s="18" t="n">
        <v>423465.77</v>
      </c>
      <c r="D23" s="19">
        <f>C23/$C$122</f>
        <v/>
      </c>
      <c r="E23" s="20" t="inlineStr">
        <is>
          <t>6410562</t>
        </is>
      </c>
    </row>
    <row r="24">
      <c r="A24" s="41" t="n">
        <v>143349</v>
      </c>
      <c r="B24" s="2" t="inlineStr">
        <is>
          <t>FIRSTRAND LTD COMMON STOCK ZAR 1</t>
        </is>
      </c>
      <c r="C24" s="18" t="n">
        <v>418931.42</v>
      </c>
      <c r="D24" s="19">
        <f>C24/$C$122</f>
        <v/>
      </c>
      <c r="E24" s="20" t="inlineStr">
        <is>
          <t>6606996</t>
        </is>
      </c>
    </row>
    <row r="25">
      <c r="A25" s="41" t="n">
        <v>5289</v>
      </c>
      <c r="B25" s="2" t="inlineStr">
        <is>
          <t>JSC KASPI.KZ GDR-REG S</t>
        </is>
      </c>
      <c r="C25" s="18" t="n">
        <v>347465.56</v>
      </c>
      <c r="D25" s="19">
        <f>C25/$C$122</f>
        <v/>
      </c>
      <c r="E25" s="20" t="inlineStr">
        <is>
          <t>BJY21K1</t>
        </is>
      </c>
    </row>
    <row r="26">
      <c r="A26" s="41" t="n">
        <v>54728</v>
      </c>
      <c r="B26" s="2" t="inlineStr">
        <is>
          <t>RIYAD BANK COMMON STOCK SAR 10</t>
        </is>
      </c>
      <c r="C26" s="18" t="n">
        <v>334807.86</v>
      </c>
      <c r="D26" s="19">
        <f>C26/$C$122</f>
        <v/>
      </c>
      <c r="E26" s="20" t="inlineStr">
        <is>
          <t>B12LZW4</t>
        </is>
      </c>
    </row>
    <row r="27">
      <c r="A27" s="41" t="n">
        <v>15105</v>
      </c>
      <c r="B27" s="2" t="inlineStr">
        <is>
          <t>NOVA LJUBLJANSKA BANKA DD GDR EUR</t>
        </is>
      </c>
      <c r="C27" s="18" t="n">
        <v>332948.09</v>
      </c>
      <c r="D27" s="19">
        <f>C27/$C$122</f>
        <v/>
      </c>
      <c r="E27" s="20" t="inlineStr">
        <is>
          <t>BGRPD22</t>
        </is>
      </c>
    </row>
    <row r="28">
      <c r="A28" s="41" t="n">
        <v>9341</v>
      </c>
      <c r="B28" s="2" t="inlineStr">
        <is>
          <t>METLEN ENERGY &amp; METALS SA COMMON STOCK EUR 0.97</t>
        </is>
      </c>
      <c r="C28" s="18" t="n">
        <v>330547.51</v>
      </c>
      <c r="D28" s="19">
        <f>C28/$C$122</f>
        <v/>
      </c>
      <c r="E28" s="20" t="inlineStr">
        <is>
          <t>5898664</t>
        </is>
      </c>
    </row>
    <row r="29">
      <c r="A29" s="41" t="n">
        <v>78716</v>
      </c>
      <c r="B29" s="2" t="inlineStr">
        <is>
          <t>PIRAEUS FINANCIAL HOLDINGS SA COMMON STOCK EUR 0.93</t>
        </is>
      </c>
      <c r="C29" s="18" t="n">
        <v>328927.77</v>
      </c>
      <c r="D29" s="19">
        <f>C29/$C$122</f>
        <v/>
      </c>
      <c r="E29" s="20" t="inlineStr">
        <is>
          <t>BNC0DB0</t>
        </is>
      </c>
    </row>
    <row r="30">
      <c r="A30" s="41" t="n">
        <v>45346</v>
      </c>
      <c r="B30" s="2" t="inlineStr">
        <is>
          <t>THE SAUDI NATIONAL BANK</t>
        </is>
      </c>
      <c r="C30" s="18" t="n">
        <v>322666.67</v>
      </c>
      <c r="D30" s="19">
        <f>C30/$C$122</f>
        <v/>
      </c>
      <c r="E30" s="20" t="inlineStr">
        <is>
          <t>BSHYYN1</t>
        </is>
      </c>
    </row>
    <row r="31">
      <c r="A31" s="41" t="n">
        <v>190207</v>
      </c>
      <c r="B31" s="2" t="inlineStr">
        <is>
          <t>ALDAR PROPERTIES PJSC COMMON STOCK AED 1</t>
        </is>
      </c>
      <c r="C31" s="18" t="n">
        <v>320624.15</v>
      </c>
      <c r="D31" s="19">
        <f>C31/$C$122</f>
        <v/>
      </c>
      <c r="E31" s="20" t="inlineStr">
        <is>
          <t>B0LX3Y2</t>
        </is>
      </c>
    </row>
    <row r="32">
      <c r="A32" s="41" t="n">
        <v>208499</v>
      </c>
      <c r="B32" s="2" t="inlineStr">
        <is>
          <t>DUBAI ISLAMIC BANK PJSC COMMON STOCK AED 1</t>
        </is>
      </c>
      <c r="C32" s="18" t="n">
        <v>318734.79</v>
      </c>
      <c r="D32" s="19">
        <f>C32/$C$122</f>
        <v/>
      </c>
      <c r="E32" s="20" t="inlineStr">
        <is>
          <t>6283452</t>
        </is>
      </c>
    </row>
    <row r="33">
      <c r="A33" s="41" t="n">
        <v>487</v>
      </c>
      <c r="B33" s="2" t="inlineStr">
        <is>
          <t>BENEFIT SYSTEMS SA COMMON STOCK PLN 1</t>
        </is>
      </c>
      <c r="C33" s="18" t="n">
        <v>315407.07</v>
      </c>
      <c r="D33" s="19">
        <f>C33/$C$122</f>
        <v/>
      </c>
      <c r="E33" s="20" t="inlineStr">
        <is>
          <t>B4XY9X2</t>
        </is>
      </c>
    </row>
    <row r="34">
      <c r="A34" s="41" t="n">
        <v>11905</v>
      </c>
      <c r="B34" s="2" t="inlineStr">
        <is>
          <t>NAC KAZATOMPROM JSC GDR USD</t>
        </is>
      </c>
      <c r="C34" s="18" t="n">
        <v>296354.9</v>
      </c>
      <c r="D34" s="19">
        <f>C34/$C$122</f>
        <v/>
      </c>
      <c r="E34" s="20" t="inlineStr">
        <is>
          <t>BGXQL36</t>
        </is>
      </c>
    </row>
    <row r="35">
      <c r="A35" s="41" t="n">
        <v>362649</v>
      </c>
      <c r="B35" s="2" t="inlineStr">
        <is>
          <t>LUKOIL PJSC COMMON STOCK RUB 0.025 RUB</t>
        </is>
      </c>
      <c r="C35" s="18" t="n">
        <v>170634.16</v>
      </c>
      <c r="D35" s="19">
        <f>C35/$C$122</f>
        <v/>
      </c>
      <c r="E35" s="20" t="inlineStr">
        <is>
          <t>X84C974</t>
        </is>
      </c>
    </row>
    <row r="36">
      <c r="A36" s="41" t="n">
        <v>262047</v>
      </c>
      <c r="B36" s="2" t="inlineStr">
        <is>
          <t>LUKOIL PJSC COMMON STOCK RUB</t>
        </is>
      </c>
      <c r="C36" s="18" t="n">
        <v>122340.61</v>
      </c>
      <c r="D36" s="19">
        <f>C36/$C$122</f>
        <v/>
      </c>
      <c r="E36" s="20" t="inlineStr">
        <is>
          <t>X84D1F5</t>
        </is>
      </c>
    </row>
    <row r="37">
      <c r="A37" s="28" t="n"/>
      <c r="B37" s="27" t="inlineStr">
        <is>
          <t>Subtotal</t>
        </is>
      </c>
      <c r="C37" s="29">
        <f>+C36+C35</f>
        <v/>
      </c>
      <c r="D37" s="31">
        <f>C37/$C$125</f>
        <v/>
      </c>
      <c r="E37" s="20" t="n"/>
    </row>
    <row r="38">
      <c r="A38" s="28" t="n">
        <v>49901</v>
      </c>
      <c r="B38" s="2" t="inlineStr">
        <is>
          <t>ALINMA BANK COMMON STOCK SAR 10</t>
        </is>
      </c>
      <c r="C38" s="18" t="n">
        <v>288843.65</v>
      </c>
      <c r="D38" s="19">
        <f>C38/$C$122</f>
        <v/>
      </c>
      <c r="E38" s="20" t="inlineStr">
        <is>
          <t>B39NWT3</t>
        </is>
      </c>
    </row>
    <row r="39">
      <c r="A39" s="28" t="n">
        <v>24898</v>
      </c>
      <c r="B39" s="2" t="inlineStr">
        <is>
          <t>SARANTIS SA EUR1.53</t>
        </is>
      </c>
      <c r="C39" s="18" t="n">
        <v>281820.21</v>
      </c>
      <c r="D39" s="19">
        <f>C39/$C$122</f>
        <v/>
      </c>
      <c r="E39" s="20" t="inlineStr">
        <is>
          <t>7124958</t>
        </is>
      </c>
    </row>
    <row r="40">
      <c r="A40" s="28" t="n">
        <v>23805</v>
      </c>
      <c r="B40" s="2" t="inlineStr">
        <is>
          <t>SHOPRITE HOLDINGS LTD COMMON STOCK ZAR 113.4</t>
        </is>
      </c>
      <c r="C40" s="18" t="n">
        <v>273496.74</v>
      </c>
      <c r="D40" s="19">
        <f>C40/$C$122</f>
        <v/>
      </c>
      <c r="E40" s="20" t="inlineStr">
        <is>
          <t>6801575</t>
        </is>
      </c>
    </row>
    <row r="41">
      <c r="A41" s="28" t="n">
        <v>7292</v>
      </c>
      <c r="B41" s="2" t="inlineStr">
        <is>
          <t>BANK POLSKA KASA OPIEKI SA COMMON STOCK PLN 1</t>
        </is>
      </c>
      <c r="C41" s="18" t="n">
        <v>273277.43</v>
      </c>
      <c r="D41" s="19">
        <f>C41/$C$122</f>
        <v/>
      </c>
      <c r="E41" s="20" t="inlineStr">
        <is>
          <t>5473113</t>
        </is>
      </c>
    </row>
    <row r="42">
      <c r="A42" s="28" t="n">
        <v>155262</v>
      </c>
      <c r="B42" s="2" t="inlineStr">
        <is>
          <t>TURKCELL ILETISIM HIZMET AS</t>
        </is>
      </c>
      <c r="C42" s="18" t="n">
        <v>271259.06</v>
      </c>
      <c r="D42" s="19">
        <f>C42/$C$122</f>
        <v/>
      </c>
      <c r="E42" s="20" t="inlineStr">
        <is>
          <t>B03MYN3</t>
        </is>
      </c>
    </row>
    <row r="43">
      <c r="A43" s="28" t="n">
        <v>149437</v>
      </c>
      <c r="B43" s="2" t="inlineStr">
        <is>
          <t>ALPHA SERVICES AND HOLDINGS SA COMMON STOCK EUR 0.29</t>
        </is>
      </c>
      <c r="C43" s="18" t="n">
        <v>270508.97</v>
      </c>
      <c r="D43" s="19">
        <f>C43/$C$122</f>
        <v/>
      </c>
      <c r="E43" s="20" t="inlineStr">
        <is>
          <t>BZ1MXR7</t>
        </is>
      </c>
    </row>
    <row r="44">
      <c r="A44" s="28" t="n">
        <v>23041</v>
      </c>
      <c r="B44" s="2" t="inlineStr">
        <is>
          <t>POWSZECHNY ZAKLAD UBEZPIECZEN SA COMMON STOCK PLN 0.1</t>
        </is>
      </c>
      <c r="C44" s="18" t="n">
        <v>269660.8</v>
      </c>
      <c r="D44" s="19">
        <f>C44/$C$122</f>
        <v/>
      </c>
      <c r="E44" s="20" t="inlineStr">
        <is>
          <t>B63DG21</t>
        </is>
      </c>
    </row>
    <row r="45">
      <c r="A45" s="28" t="n">
        <v>127190</v>
      </c>
      <c r="B45" s="2" t="inlineStr">
        <is>
          <t>EUROBANK ERGASIAS SERVICES AND HOLDINGS SA COMMON STOCK EUR 0.22</t>
        </is>
      </c>
      <c r="C45" s="18" t="n">
        <v>268556.56</v>
      </c>
      <c r="D45" s="19">
        <f>C45/$C$122</f>
        <v/>
      </c>
      <c r="E45" s="20" t="inlineStr">
        <is>
          <t>BYZ43T4</t>
        </is>
      </c>
    </row>
    <row r="46">
      <c r="A46" s="28" t="n">
        <v>56454</v>
      </c>
      <c r="B46" s="2" t="inlineStr">
        <is>
          <t>MONETA MONEY BANK AS COMMON STOCK CZK 20</t>
        </is>
      </c>
      <c r="C46" s="18" t="n">
        <v>260813</v>
      </c>
      <c r="D46" s="19">
        <f>C46/$C$122</f>
        <v/>
      </c>
      <c r="E46" s="20" t="inlineStr">
        <is>
          <t>BD3CQ16</t>
        </is>
      </c>
    </row>
    <row r="47">
      <c r="A47" s="28" t="n">
        <v>1247</v>
      </c>
      <c r="B47" s="2" t="inlineStr">
        <is>
          <t>ELM CO COMMON STOCK SAR 10</t>
        </is>
      </c>
      <c r="C47" s="18" t="n">
        <v>257560.02</v>
      </c>
      <c r="D47" s="19">
        <f>C47/$C$122</f>
        <v/>
      </c>
      <c r="E47" s="20" t="inlineStr">
        <is>
          <t>BNYDSH8</t>
        </is>
      </c>
    </row>
    <row r="48">
      <c r="A48" s="28" t="n">
        <v>11178</v>
      </c>
      <c r="B48" s="2" t="inlineStr">
        <is>
          <t>RICHTER GEDEON NYRT COMMON STOCK HUF 100</t>
        </is>
      </c>
      <c r="C48" s="18" t="n">
        <v>252866.09</v>
      </c>
      <c r="D48" s="19">
        <f>C48/$C$122</f>
        <v/>
      </c>
      <c r="E48" s="20" t="inlineStr">
        <is>
          <t>BC9ZH86</t>
        </is>
      </c>
    </row>
    <row r="49">
      <c r="A49" s="28" t="n">
        <v>35367</v>
      </c>
      <c r="B49" s="2" t="inlineStr">
        <is>
          <t>ABSA GROUP LTD</t>
        </is>
      </c>
      <c r="C49" s="18" t="n">
        <v>242991.54</v>
      </c>
      <c r="D49" s="19">
        <f>C49/$C$122</f>
        <v/>
      </c>
      <c r="E49" s="20" t="inlineStr">
        <is>
          <t>BFX05H3</t>
        </is>
      </c>
    </row>
    <row r="50">
      <c r="A50" s="28" t="n">
        <v>43441</v>
      </c>
      <c r="B50" s="2" t="inlineStr">
        <is>
          <t>TURK HAVA YOLLARI AO COMMON STOCK TRY 1</t>
        </is>
      </c>
      <c r="C50" s="18" t="n">
        <v>240372.57</v>
      </c>
      <c r="D50" s="19">
        <f>C50/$C$122</f>
        <v/>
      </c>
      <c r="E50" s="20" t="inlineStr">
        <is>
          <t>B03MYK0</t>
        </is>
      </c>
    </row>
    <row r="51">
      <c r="A51" s="28" t="n">
        <v>85774</v>
      </c>
      <c r="B51" s="2" t="inlineStr">
        <is>
          <t>EMAAR DEVELOPMENT PJSC COMMON STOCK AED 1</t>
        </is>
      </c>
      <c r="C51" s="18" t="n">
        <v>230777.69</v>
      </c>
      <c r="D51" s="19">
        <f>C51/$C$122</f>
        <v/>
      </c>
      <c r="E51" s="20" t="inlineStr">
        <is>
          <t>BDG1977</t>
        </is>
      </c>
    </row>
    <row r="52">
      <c r="A52" s="28" t="n">
        <v>55815</v>
      </c>
      <c r="B52" s="2" t="inlineStr">
        <is>
          <t>ARABIAN CENTRES CO COMMON STOCK SAR 10</t>
        </is>
      </c>
      <c r="C52" s="18" t="n">
        <v>220582.83</v>
      </c>
      <c r="D52" s="19">
        <f>C52/$C$122</f>
        <v/>
      </c>
      <c r="E52" s="20" t="inlineStr">
        <is>
          <t>BKBF694</t>
        </is>
      </c>
    </row>
    <row r="53">
      <c r="A53" s="28" t="n">
        <v>23094</v>
      </c>
      <c r="B53" s="2" t="inlineStr">
        <is>
          <t>BIDVEST GROUP LTD COMMON STOCK ZAR 5</t>
        </is>
      </c>
      <c r="C53" s="18" t="n">
        <v>217620.46</v>
      </c>
      <c r="D53" s="19">
        <f>C53/$C$122</f>
        <v/>
      </c>
      <c r="E53" s="20" t="inlineStr">
        <is>
          <t>6100089</t>
        </is>
      </c>
    </row>
    <row r="54">
      <c r="A54" s="28" t="n">
        <v>71</v>
      </c>
      <c r="B54" s="2" t="inlineStr">
        <is>
          <t>LPP SA COMMON STOCK PLN 2</t>
        </is>
      </c>
      <c r="C54" s="18" t="n">
        <v>217555.74</v>
      </c>
      <c r="D54" s="19">
        <f>C54/$C$122</f>
        <v/>
      </c>
      <c r="E54" s="20" t="inlineStr">
        <is>
          <t>7127979</t>
        </is>
      </c>
    </row>
    <row r="55">
      <c r="A55" s="28" t="n">
        <v>8860909</v>
      </c>
      <c r="B55" s="2" t="inlineStr">
        <is>
          <t>GAZPROM PJSC COMMON STOCK RUB</t>
        </is>
      </c>
      <c r="C55" s="18" t="n">
        <v>191048.55</v>
      </c>
      <c r="D55" s="19">
        <f>C55/$C$122</f>
        <v/>
      </c>
      <c r="E55" s="20" t="inlineStr">
        <is>
          <t>X8C529A</t>
        </is>
      </c>
    </row>
    <row r="56">
      <c r="A56" s="28" t="n">
        <v>5365084</v>
      </c>
      <c r="B56" s="2" t="inlineStr">
        <is>
          <t>GAZPROM PJSC ADR</t>
        </is>
      </c>
      <c r="C56" s="18" t="n">
        <v>23353</v>
      </c>
      <c r="D56" s="19">
        <f>C56/$C$122</f>
        <v/>
      </c>
      <c r="E56" s="20" t="inlineStr">
        <is>
          <t>X84C976</t>
        </is>
      </c>
    </row>
    <row r="57">
      <c r="A57" s="28" t="n"/>
      <c r="B57" s="27" t="inlineStr">
        <is>
          <t>Subtotal</t>
        </is>
      </c>
      <c r="C57" s="29">
        <f>+C56+C55</f>
        <v/>
      </c>
      <c r="D57" s="31">
        <f>C57/$C$125</f>
        <v/>
      </c>
      <c r="E57" s="38" t="n"/>
    </row>
    <row r="58">
      <c r="A58" s="41" t="n">
        <v>1238</v>
      </c>
      <c r="B58" s="2" t="inlineStr">
        <is>
          <t>GRUPA KETY SA COMMON STOCK PLN 2.5</t>
        </is>
      </c>
      <c r="C58" s="18" t="n">
        <v>212580.25</v>
      </c>
      <c r="D58" s="19">
        <f>C58/$C$122</f>
        <v/>
      </c>
      <c r="E58" s="38" t="inlineStr">
        <is>
          <t>5216385</t>
        </is>
      </c>
    </row>
    <row r="59">
      <c r="A59" s="41" t="n">
        <v>43960</v>
      </c>
      <c r="B59" s="2" t="inlineStr">
        <is>
          <t>BANK OF CYPRUS HOLDINGS PLC COMMON STOCK EUR 0.1</t>
        </is>
      </c>
      <c r="C59" s="18" t="n">
        <v>212501.53</v>
      </c>
      <c r="D59" s="19">
        <f>C59/$C$122</f>
        <v/>
      </c>
      <c r="E59" s="38" t="inlineStr">
        <is>
          <t>BN2BZT5</t>
        </is>
      </c>
    </row>
    <row r="60">
      <c r="A60" s="41" t="n">
        <v>23877</v>
      </c>
      <c r="B60" s="2" t="inlineStr">
        <is>
          <t>BIM BIRLESIK MAGAZALAR AS COMMON STOCK TRY 1</t>
        </is>
      </c>
      <c r="C60" s="18" t="n">
        <v>209623.96</v>
      </c>
      <c r="D60" s="19">
        <f>C60/$C$122</f>
        <v/>
      </c>
      <c r="E60" s="38" t="inlineStr">
        <is>
          <t>B0D0006</t>
        </is>
      </c>
    </row>
    <row r="61">
      <c r="A61" s="41" t="n">
        <v>2601</v>
      </c>
      <c r="B61" s="2" t="inlineStr">
        <is>
          <t>KRUK SA COMMON STOCK PLN 1</t>
        </is>
      </c>
      <c r="C61" s="18" t="n">
        <v>206544.46</v>
      </c>
      <c r="D61" s="19">
        <f>C61/$C$122</f>
        <v/>
      </c>
      <c r="E61" s="38" t="inlineStr">
        <is>
          <t>B4PTLY0</t>
        </is>
      </c>
    </row>
    <row r="62">
      <c r="A62" s="41" t="n">
        <v>68238</v>
      </c>
      <c r="B62" s="2" t="inlineStr">
        <is>
          <t>ADES HOLDING CO COMMON STOCK SAR 1</t>
        </is>
      </c>
      <c r="C62" s="18" t="n">
        <v>205936.66</v>
      </c>
      <c r="D62" s="19">
        <f>C62/$C$122</f>
        <v/>
      </c>
      <c r="E62" s="38" t="inlineStr">
        <is>
          <t>BR56KM3</t>
        </is>
      </c>
    </row>
    <row r="63">
      <c r="A63" s="41" t="n">
        <v>5652</v>
      </c>
      <c r="B63" s="2" t="inlineStr">
        <is>
          <t>KOMERCNI BANKA AS COMMON STOCK CZK 100</t>
        </is>
      </c>
      <c r="C63" s="18" t="n">
        <v>205191.62</v>
      </c>
      <c r="D63" s="19">
        <f>C63/$C$122</f>
        <v/>
      </c>
      <c r="E63" s="38" t="inlineStr">
        <is>
          <t>4519449</t>
        </is>
      </c>
    </row>
    <row r="64">
      <c r="A64" s="41" t="n">
        <v>32435</v>
      </c>
      <c r="B64" s="2" t="inlineStr">
        <is>
          <t>MOL HUNGARIAN OIL &amp; GAS PLC COMMON STOCK HUF 125</t>
        </is>
      </c>
      <c r="C64" s="18" t="n">
        <v>204763.8</v>
      </c>
      <c r="D64" s="19">
        <f>C64/$C$122</f>
        <v/>
      </c>
      <c r="E64" s="38" t="inlineStr">
        <is>
          <t>BD5ZXH8</t>
        </is>
      </c>
    </row>
    <row r="65">
      <c r="A65" s="41" t="n">
        <v>20472</v>
      </c>
      <c r="B65" s="2" t="inlineStr">
        <is>
          <t>SAUDI GROUND SERVICES CO COMMON STOCK SAR 10</t>
        </is>
      </c>
      <c r="C65" s="18" t="n">
        <v>202673.76</v>
      </c>
      <c r="D65" s="19">
        <f>C65/$C$122</f>
        <v/>
      </c>
      <c r="E65" s="38" t="inlineStr">
        <is>
          <t>BYYTJ69</t>
        </is>
      </c>
    </row>
    <row r="66">
      <c r="A66" s="41" t="n">
        <v>182204</v>
      </c>
      <c r="B66" s="2" t="inlineStr">
        <is>
          <t>PARKIN CO PJSC COMMON STOCK AED 0.02</t>
        </is>
      </c>
      <c r="C66" s="18" t="n">
        <v>199804.11</v>
      </c>
      <c r="D66" s="19">
        <f>C66/$C$122</f>
        <v/>
      </c>
      <c r="E66" s="38" t="inlineStr">
        <is>
          <t>BRRGQF6</t>
        </is>
      </c>
    </row>
    <row r="67">
      <c r="A67" s="41" t="n">
        <v>14455036</v>
      </c>
      <c r="B67" s="2" t="inlineStr">
        <is>
          <t>SBERBANK OF RUSSIA PJSC PREFERENCE RUB 3</t>
        </is>
      </c>
      <c r="C67" s="18" t="n">
        <v>171926.29</v>
      </c>
      <c r="D67" s="19">
        <f>C67/$C$122</f>
        <v/>
      </c>
      <c r="E67" s="38" t="inlineStr">
        <is>
          <t>X8C6155</t>
        </is>
      </c>
    </row>
    <row r="68">
      <c r="A68" s="41" t="n">
        <v>2355925</v>
      </c>
      <c r="B68" s="2" t="inlineStr">
        <is>
          <t>SBERBANK OF RUSSIA PJSC</t>
        </is>
      </c>
      <c r="C68" s="18" t="n">
        <v>27818.54</v>
      </c>
      <c r="D68" s="19">
        <f>C68/$C$122</f>
        <v/>
      </c>
      <c r="E68" s="38" t="inlineStr">
        <is>
          <t>X8C6398</t>
        </is>
      </c>
    </row>
    <row r="69">
      <c r="A69" s="41" t="n"/>
      <c r="B69" s="27" t="inlineStr">
        <is>
          <t>Subtotal</t>
        </is>
      </c>
      <c r="C69" s="29">
        <f>+C68+C67</f>
        <v/>
      </c>
      <c r="D69" s="31">
        <f>C69/$C$125</f>
        <v/>
      </c>
      <c r="E69" s="38" t="n"/>
    </row>
    <row r="70">
      <c r="A70" s="28" t="n">
        <v>573074</v>
      </c>
      <c r="B70" s="2" t="inlineStr">
        <is>
          <t>TURKIYE SIGORTA AS COMMON STOCK TRY 1</t>
        </is>
      </c>
      <c r="C70" s="18" t="n">
        <v>195335.63</v>
      </c>
      <c r="D70" s="19">
        <f>C70/$C$122</f>
        <v/>
      </c>
      <c r="E70" s="38" t="inlineStr">
        <is>
          <t>B03MTD8</t>
        </is>
      </c>
    </row>
    <row r="71">
      <c r="A71" s="28" t="n">
        <v>3863</v>
      </c>
      <c r="B71" s="2" t="inlineStr">
        <is>
          <t>ERSTE GROUP BANK AG COMMON STOCK EUR 0</t>
        </is>
      </c>
      <c r="C71" s="18" t="n">
        <v>195284.24</v>
      </c>
      <c r="D71" s="19">
        <f>C71/$C$122</f>
        <v/>
      </c>
      <c r="E71" s="38" t="inlineStr">
        <is>
          <t>5289837</t>
        </is>
      </c>
    </row>
    <row r="72">
      <c r="A72" s="28" t="n">
        <v>13207</v>
      </c>
      <c r="B72" s="2" t="inlineStr">
        <is>
          <t>UNITED INTERNATIONAL TRANSPORTATION CO COMMON STOCK SAR 10</t>
        </is>
      </c>
      <c r="C72" s="18" t="n">
        <v>193488.8</v>
      </c>
      <c r="D72" s="19">
        <f>C72/$C$122</f>
        <v/>
      </c>
      <c r="E72" s="38" t="inlineStr">
        <is>
          <t>B2493D0</t>
        </is>
      </c>
    </row>
    <row r="73">
      <c r="A73" s="28" t="n">
        <v>27398</v>
      </c>
      <c r="B73" s="2" t="inlineStr">
        <is>
          <t>SAUDI AWWAL BANK COMMON STOCK SAR 10</t>
        </is>
      </c>
      <c r="C73" s="18" t="n">
        <v>191400.24</v>
      </c>
      <c r="D73" s="19">
        <f>C73/$C$122</f>
        <v/>
      </c>
      <c r="E73" s="38" t="inlineStr">
        <is>
          <t>B12LSY7</t>
        </is>
      </c>
    </row>
    <row r="74">
      <c r="A74" s="28" t="n">
        <v>192692</v>
      </c>
      <c r="B74" s="2" t="inlineStr">
        <is>
          <t>ADNOC LOGISTICS &amp; SERVICES COMMON STOCK AED 1.983</t>
        </is>
      </c>
      <c r="C74" s="18" t="n">
        <v>189310.61</v>
      </c>
      <c r="D74" s="19">
        <f>C74/$C$122</f>
        <v/>
      </c>
      <c r="E74" s="38" t="inlineStr">
        <is>
          <t>BRBN103</t>
        </is>
      </c>
    </row>
    <row r="75">
      <c r="A75" s="28" t="n">
        <v>196322</v>
      </c>
      <c r="B75" s="2" t="inlineStr">
        <is>
          <t>QATAR GAS TRANSPORT CO LTD COMMON STOCK QAR 1</t>
        </is>
      </c>
      <c r="C75" s="18" t="n">
        <v>184078.98</v>
      </c>
      <c r="D75" s="19">
        <f>C75/$C$122</f>
        <v/>
      </c>
      <c r="E75" s="38" t="inlineStr">
        <is>
          <t>B0MLBC9</t>
        </is>
      </c>
    </row>
    <row r="76">
      <c r="A76" s="28" t="n">
        <v>6262</v>
      </c>
      <c r="B76" s="2" t="inlineStr">
        <is>
          <t>LEEJAM SPORTS CO JSC COMMON STOCK SAR 10</t>
        </is>
      </c>
      <c r="C76" s="18" t="n">
        <v>174233.4</v>
      </c>
      <c r="D76" s="19">
        <f>C76/$C$122</f>
        <v/>
      </c>
      <c r="E76" s="38" t="inlineStr">
        <is>
          <t>BF12ZV5</t>
        </is>
      </c>
    </row>
    <row r="77">
      <c r="A77" s="28" t="n">
        <v>8660</v>
      </c>
      <c r="B77" s="2" t="inlineStr">
        <is>
          <t>RAIFFEISEN BANK INTERNATIONAL AG COMMON STOCK EUR 0</t>
        </is>
      </c>
      <c r="C77" s="18" t="n">
        <v>171281.34</v>
      </c>
      <c r="D77" s="19">
        <f>C77/$C$122</f>
        <v/>
      </c>
      <c r="E77" s="38" t="inlineStr">
        <is>
          <t>B0704T9</t>
        </is>
      </c>
    </row>
    <row r="78">
      <c r="A78" s="41" t="n">
        <v>69654</v>
      </c>
      <c r="B78" s="2" t="inlineStr">
        <is>
          <t>TUPRAS-TURKIYE PETROL RAFINE</t>
        </is>
      </c>
      <c r="C78" s="33" t="n">
        <v>168946.31</v>
      </c>
      <c r="D78" s="19">
        <f>C78/$C$122</f>
        <v/>
      </c>
      <c r="E78" s="38" t="inlineStr">
        <is>
          <t>B03MYT9</t>
        </is>
      </c>
    </row>
    <row r="79">
      <c r="A79" s="28" t="n">
        <v>169475</v>
      </c>
      <c r="B79" s="2" t="inlineStr">
        <is>
          <t>ADNOC DRILLING CO PJSC COMMON STOCK AED</t>
        </is>
      </c>
      <c r="C79" s="18" t="n">
        <v>168919.09</v>
      </c>
      <c r="D79" s="19">
        <f>C79/$C$122</f>
        <v/>
      </c>
      <c r="E79" s="38" t="inlineStr">
        <is>
          <t>BN12D39</t>
        </is>
      </c>
    </row>
    <row r="80">
      <c r="A80" s="28" t="n">
        <v>6082</v>
      </c>
      <c r="B80" s="2" t="inlineStr">
        <is>
          <t>CO FOR COOPERATIVE INSURANCE/THE COMMON STOCK SAR 10</t>
        </is>
      </c>
      <c r="C80" s="18" t="n">
        <v>168496.73</v>
      </c>
      <c r="D80" s="19">
        <f>C80/$C$122</f>
        <v/>
      </c>
      <c r="E80" s="38" t="inlineStr">
        <is>
          <t>B128FN6</t>
        </is>
      </c>
    </row>
    <row r="81">
      <c r="A81" s="28" t="n">
        <v>6134</v>
      </c>
      <c r="B81" s="2" t="inlineStr">
        <is>
          <t>ALDREES PETROLEUM AND TRANSPORT SERVICES CO COMMON STOCK SAR 10</t>
        </is>
      </c>
      <c r="C81" s="18" t="n">
        <v>168223.28</v>
      </c>
      <c r="D81" s="19">
        <f>C81/$C$122</f>
        <v/>
      </c>
      <c r="E81" s="38" t="inlineStr">
        <is>
          <t>B128FF8</t>
        </is>
      </c>
    </row>
    <row r="82">
      <c r="A82" s="28" t="n">
        <v>21418</v>
      </c>
      <c r="B82" s="2" t="inlineStr">
        <is>
          <t>ATHENS INTERNATIONAL AIRPORT SA COMMON STOCK EUR 1</t>
        </is>
      </c>
      <c r="C82" s="18" t="n">
        <v>166602.36</v>
      </c>
      <c r="D82" s="19">
        <f>C82/$C$122</f>
        <v/>
      </c>
      <c r="E82" s="38" t="inlineStr">
        <is>
          <t>BPYS8N3</t>
        </is>
      </c>
    </row>
    <row r="83">
      <c r="A83" s="28" t="n">
        <v>4951</v>
      </c>
      <c r="B83" s="2" t="inlineStr">
        <is>
          <t>BUPA ARABIA FOR COOPERATIVE INSURANCE CO COMMON STOCK SAR 10</t>
        </is>
      </c>
      <c r="C83" s="18" t="n">
        <v>165228.43</v>
      </c>
      <c r="D83" s="19">
        <f>C83/$C$122</f>
        <v/>
      </c>
      <c r="E83" s="38" t="inlineStr">
        <is>
          <t>B2RLCR0</t>
        </is>
      </c>
    </row>
    <row r="84">
      <c r="A84" s="28" t="n">
        <v>9456</v>
      </c>
      <c r="B84" s="2" t="inlineStr">
        <is>
          <t>FORD OTOMOTIV SANAYI AS COMMON STOCK TRY 1</t>
        </is>
      </c>
      <c r="C84" s="18" t="n">
        <v>162905.35</v>
      </c>
      <c r="D84" s="19">
        <f>C84/$C$122</f>
        <v/>
      </c>
      <c r="E84" s="38" t="inlineStr">
        <is>
          <t>B03MSR5</t>
        </is>
      </c>
    </row>
    <row r="85">
      <c r="A85" s="28" t="n">
        <v>44675</v>
      </c>
      <c r="B85" s="2" t="inlineStr">
        <is>
          <t>AVI LTD COMMON STOCK ZAR 5</t>
        </is>
      </c>
      <c r="C85" s="18" t="n">
        <v>162504.43</v>
      </c>
      <c r="D85" s="19">
        <f>C85/$C$122</f>
        <v/>
      </c>
      <c r="E85" s="38" t="inlineStr">
        <is>
          <t>6040958</t>
        </is>
      </c>
    </row>
    <row r="86">
      <c r="A86" s="28" t="n">
        <v>6309</v>
      </c>
      <c r="B86" s="2" t="inlineStr">
        <is>
          <t>RIYADH CABLES GROUP CO COMMON STOCK SAR 10</t>
        </is>
      </c>
      <c r="C86" s="18" t="n">
        <v>159926.28</v>
      </c>
      <c r="D86" s="19">
        <f>C86/$C$122</f>
        <v/>
      </c>
      <c r="E86" s="38" t="inlineStr">
        <is>
          <t>BNBPXW7</t>
        </is>
      </c>
    </row>
    <row r="87">
      <c r="A87" s="28" t="n">
        <v>1268490</v>
      </c>
      <c r="B87" s="2" t="inlineStr">
        <is>
          <t>NOVATEK PJSC COMMON STOCK RUB 0.1</t>
        </is>
      </c>
      <c r="C87" s="18" t="n">
        <v>146969.05</v>
      </c>
      <c r="D87" s="19">
        <f>C87/$C$122</f>
        <v/>
      </c>
      <c r="E87" s="38" t="inlineStr">
        <is>
          <t>X84C972</t>
        </is>
      </c>
    </row>
    <row r="88">
      <c r="A88" s="28" t="n">
        <v>103572</v>
      </c>
      <c r="B88" s="2" t="inlineStr">
        <is>
          <t>NOVATEK PJSC COMMON STOCK RUB 0.1</t>
        </is>
      </c>
      <c r="C88" s="18" t="n">
        <v>11906.75</v>
      </c>
      <c r="D88" s="19">
        <f>C88/$C$122</f>
        <v/>
      </c>
      <c r="E88" s="38" t="inlineStr">
        <is>
          <t>X84C970</t>
        </is>
      </c>
    </row>
    <row r="89">
      <c r="A89" s="28" t="n"/>
      <c r="B89" s="27" t="inlineStr">
        <is>
          <t>Subtotal</t>
        </is>
      </c>
      <c r="C89" s="29">
        <f>+C88+C87</f>
        <v/>
      </c>
      <c r="D89" s="31">
        <f>C89/$C$125</f>
        <v/>
      </c>
      <c r="E89" s="38" t="n"/>
    </row>
    <row r="90">
      <c r="A90" s="28" t="n">
        <v>2568</v>
      </c>
      <c r="B90" s="2" t="inlineStr">
        <is>
          <t>SAUDIA DAIRY &amp; FOODSTUFF CO COMMON STOCK SAR 10</t>
        </is>
      </c>
      <c r="C90" s="18" t="n">
        <v>156332.92</v>
      </c>
      <c r="D90" s="19">
        <f>C90/$C$122</f>
        <v/>
      </c>
      <c r="E90" s="38" t="inlineStr">
        <is>
          <t>B133P41</t>
        </is>
      </c>
    </row>
    <row r="91">
      <c r="A91" s="28" t="n">
        <v>4593</v>
      </c>
      <c r="B91" s="2" t="inlineStr">
        <is>
          <t>ALKHORAYEF WATER &amp; POWER TECHNOLOGIES CO COMMON STOCK SAR 10</t>
        </is>
      </c>
      <c r="C91" s="18" t="n">
        <v>148330.53</v>
      </c>
      <c r="D91" s="19">
        <f>C91/$C$122</f>
        <v/>
      </c>
      <c r="E91" s="38" t="inlineStr">
        <is>
          <t>BN33QN1</t>
        </is>
      </c>
    </row>
    <row r="92">
      <c r="A92" s="28" t="n">
        <v>234111</v>
      </c>
      <c r="B92" s="2" t="inlineStr">
        <is>
          <t>TECOM GROUP PJSC COMMON STOCK AED 0.1</t>
        </is>
      </c>
      <c r="C92" s="18" t="n">
        <v>146972.73</v>
      </c>
      <c r="D92" s="19">
        <f>C92/$C$122</f>
        <v/>
      </c>
      <c r="E92" s="38" t="inlineStr">
        <is>
          <t>BLDC8Q1</t>
        </is>
      </c>
    </row>
    <row r="93">
      <c r="A93" s="28" t="n">
        <v>7795</v>
      </c>
      <c r="B93" s="2" t="inlineStr">
        <is>
          <t>UNITED ELECTRONICS CO COMMON STOCK SAR</t>
        </is>
      </c>
      <c r="C93" s="18" t="n">
        <v>145784.48</v>
      </c>
      <c r="D93" s="19">
        <f>C93/$C$122</f>
        <v/>
      </c>
      <c r="E93" s="38" t="inlineStr">
        <is>
          <t>B4P2SD7</t>
        </is>
      </c>
    </row>
    <row r="94">
      <c r="A94" s="28" t="n">
        <v>54321</v>
      </c>
      <c r="B94" s="2" t="inlineStr">
        <is>
          <t>SASOL LTD COMMON STOCK ZAR 0</t>
        </is>
      </c>
      <c r="C94" s="18" t="n">
        <v>140215.7</v>
      </c>
      <c r="D94" s="19">
        <f>C94/$C$122</f>
        <v/>
      </c>
      <c r="E94" s="38" t="inlineStr">
        <is>
          <t>6777450</t>
        </is>
      </c>
    </row>
    <row r="95">
      <c r="A95" s="28" t="n">
        <v>7008</v>
      </c>
      <c r="B95" s="2" t="inlineStr">
        <is>
          <t>SAUDI ARAMCO BASE OIL CO COMMON STOCK SAR 10</t>
        </is>
      </c>
      <c r="C95" s="18" t="n">
        <v>138759.06</v>
      </c>
      <c r="D95" s="19">
        <f>C95/$C$122</f>
        <v/>
      </c>
      <c r="E95" s="38" t="inlineStr">
        <is>
          <t>BMDKMB5</t>
        </is>
      </c>
    </row>
    <row r="96">
      <c r="A96" s="28" t="n">
        <v>27608</v>
      </c>
      <c r="B96" s="2" t="inlineStr">
        <is>
          <t>BANCA TRANSILVANIA SA COMMON STOCK RON 1</t>
        </is>
      </c>
      <c r="C96" s="18" t="n">
        <v>132808.41</v>
      </c>
      <c r="D96" s="19">
        <f>C96/$C$122</f>
        <v/>
      </c>
      <c r="E96" s="38" t="inlineStr">
        <is>
          <t>5393307</t>
        </is>
      </c>
    </row>
    <row r="97">
      <c r="A97" s="28" t="n">
        <v>7119200</v>
      </c>
      <c r="B97" s="2" t="inlineStr">
        <is>
          <t>MMC NORILSK NICKEL PJSC COMMON STOCK RUB 1</t>
        </is>
      </c>
      <c r="C97" s="18" t="n">
        <v>128650.02</v>
      </c>
      <c r="D97" s="19">
        <f>C97/$C$122</f>
        <v/>
      </c>
      <c r="E97" s="38" t="inlineStr">
        <is>
          <t>X84C977</t>
        </is>
      </c>
    </row>
    <row r="98">
      <c r="A98" s="28" t="n">
        <v>6774</v>
      </c>
      <c r="B98" s="2" t="inlineStr">
        <is>
          <t>JERONIMO MARTINS SGPS SA COMMON STOCK EUR 1</t>
        </is>
      </c>
      <c r="C98" s="18" t="n">
        <v>122795.04</v>
      </c>
      <c r="D98" s="19">
        <f>C98/$C$122</f>
        <v/>
      </c>
      <c r="E98" s="38" t="inlineStr">
        <is>
          <t>B1Y1SQ7</t>
        </is>
      </c>
    </row>
    <row r="99">
      <c r="A99" s="28" t="n">
        <v>1983</v>
      </c>
      <c r="B99" s="2" t="inlineStr">
        <is>
          <t>LION FINANCE GROUP PLC COMMON STOCK GBP 1</t>
        </is>
      </c>
      <c r="C99" s="18" t="n">
        <v>118880.85</v>
      </c>
      <c r="D99" s="19">
        <f>C99/$C$122</f>
        <v/>
      </c>
      <c r="E99" s="38" t="inlineStr">
        <is>
          <t>BF4HYT8</t>
        </is>
      </c>
    </row>
    <row r="100">
      <c r="A100" s="28" t="n">
        <v>2439</v>
      </c>
      <c r="B100" s="2" t="inlineStr">
        <is>
          <t>TBC BANK GROUP PLC COMMON STOCK GBP 1</t>
        </is>
      </c>
      <c r="C100" s="18" t="n">
        <v>115364.7</v>
      </c>
      <c r="D100" s="19">
        <f>C100/$C$122</f>
        <v/>
      </c>
      <c r="E100" s="38" t="inlineStr">
        <is>
          <t>BYT1830</t>
        </is>
      </c>
    </row>
    <row r="101">
      <c r="A101" s="28" t="n">
        <v>53407</v>
      </c>
      <c r="B101" s="2" t="inlineStr">
        <is>
          <t>TURKIYE GARANTI BANKASI AS COMMON STOCK TRY 1</t>
        </is>
      </c>
      <c r="C101" s="18" t="n">
        <v>106667.02</v>
      </c>
      <c r="D101" s="19">
        <f>C101/$C$122</f>
        <v/>
      </c>
      <c r="E101" s="38" t="inlineStr">
        <is>
          <t>B03MYP5</t>
        </is>
      </c>
    </row>
    <row r="102">
      <c r="A102" s="28" t="n">
        <v>2041744</v>
      </c>
      <c r="B102" s="2" t="inlineStr">
        <is>
          <t>ROSNEFT OIL CO PJSC COMMON STOCK RUB 0.01</t>
        </is>
      </c>
      <c r="C102" s="18" t="n">
        <v>56900.29</v>
      </c>
      <c r="D102" s="19">
        <f>C102/$C$122</f>
        <v/>
      </c>
      <c r="E102" s="38" t="inlineStr">
        <is>
          <t>X84C971</t>
        </is>
      </c>
    </row>
    <row r="103">
      <c r="A103" s="28" t="n">
        <v>1677948</v>
      </c>
      <c r="B103" s="2" t="inlineStr">
        <is>
          <t>ROSNEFT OIL CO PJSC COMMON STOCK RUB</t>
        </is>
      </c>
      <c r="C103" s="18" t="n">
        <v>47185.27</v>
      </c>
      <c r="D103" s="19">
        <f>C103/$C$122</f>
        <v/>
      </c>
      <c r="E103" s="38" t="inlineStr">
        <is>
          <t>X84D1F9</t>
        </is>
      </c>
    </row>
    <row r="104">
      <c r="A104" s="28" t="n"/>
      <c r="B104" s="27" t="inlineStr">
        <is>
          <t>Subtotal</t>
        </is>
      </c>
      <c r="C104" s="29">
        <f>+C103+C102</f>
        <v/>
      </c>
      <c r="D104" s="31">
        <f>C104/$C$125</f>
        <v/>
      </c>
      <c r="E104" s="38" t="n"/>
    </row>
    <row r="105">
      <c r="A105" s="28" t="n">
        <v>3657350</v>
      </c>
      <c r="B105" s="2" t="inlineStr">
        <is>
          <t>NOVOLIPETSK STEEL PJSC COMMON STOCK RUB</t>
        </is>
      </c>
      <c r="C105" s="18" t="n">
        <v>62610.19</v>
      </c>
      <c r="D105" s="19">
        <f>C105/$C$122</f>
        <v/>
      </c>
      <c r="E105" s="38" t="inlineStr">
        <is>
          <t>X84C97E</t>
        </is>
      </c>
    </row>
    <row r="106">
      <c r="A106" s="28" t="n">
        <v>180877</v>
      </c>
      <c r="B106" s="2" t="inlineStr">
        <is>
          <t>MAGNIT PJSC COMMON STOCK RUB 0.01</t>
        </is>
      </c>
      <c r="C106" s="18" t="n">
        <v>50734.98</v>
      </c>
      <c r="D106" s="19">
        <f>C106/$C$122</f>
        <v/>
      </c>
      <c r="E106" s="38" t="inlineStr">
        <is>
          <t>X8C505A</t>
        </is>
      </c>
    </row>
    <row r="107">
      <c r="A107" s="28" t="n">
        <v>1265335</v>
      </c>
      <c r="B107" s="2" t="inlineStr">
        <is>
          <t>GAZPROM NEFT PJSC COMMON STOCK RUB</t>
        </is>
      </c>
      <c r="C107" s="18" t="n">
        <v>45847.57</v>
      </c>
      <c r="D107" s="19">
        <f>C107/$C$122</f>
        <v/>
      </c>
      <c r="E107" s="38" t="inlineStr">
        <is>
          <t>X84D1F6</t>
        </is>
      </c>
    </row>
    <row r="108">
      <c r="A108" s="28" t="n">
        <v>730066</v>
      </c>
      <c r="B108" s="2" t="inlineStr">
        <is>
          <t>TATNEFT PJSC COMMON STOCK RUB</t>
        </is>
      </c>
      <c r="C108" s="18" t="n">
        <v>24795.13</v>
      </c>
      <c r="D108" s="19">
        <f>C108/$C$122</f>
        <v/>
      </c>
      <c r="E108" s="38" t="inlineStr">
        <is>
          <t>X84C973</t>
        </is>
      </c>
    </row>
    <row r="109">
      <c r="A109" s="28" t="n">
        <v>571359</v>
      </c>
      <c r="B109" s="2" t="inlineStr">
        <is>
          <t>TATNEFT PJSC PREFERENCE RUB 1</t>
        </is>
      </c>
      <c r="C109" s="18" t="n">
        <v>17184.49</v>
      </c>
      <c r="D109" s="19">
        <f>C109/$C$122</f>
        <v/>
      </c>
      <c r="E109" s="38" t="inlineStr">
        <is>
          <t>X8C6150</t>
        </is>
      </c>
    </row>
    <row r="110">
      <c r="A110" s="28" t="n"/>
      <c r="B110" s="27" t="inlineStr">
        <is>
          <t>Subtotal</t>
        </is>
      </c>
      <c r="C110" s="29">
        <f>+C109+C108</f>
        <v/>
      </c>
      <c r="D110" s="31">
        <f>C110/$C$125</f>
        <v/>
      </c>
      <c r="E110" s="38" t="n"/>
    </row>
    <row r="111">
      <c r="A111" s="46" t="n">
        <v>6156103</v>
      </c>
      <c r="B111" s="45" t="inlineStr">
        <is>
          <t>ROSTELECOM PJSC COMMON STOCK RUB</t>
        </is>
      </c>
      <c r="C111" s="47" t="n">
        <v>39548.2</v>
      </c>
      <c r="D111" s="19">
        <f>C111/$C$122</f>
        <v/>
      </c>
      <c r="E111" s="38" t="inlineStr">
        <is>
          <t>X84C978</t>
        </is>
      </c>
    </row>
    <row r="112">
      <c r="A112" s="46" t="n">
        <v>4246654</v>
      </c>
      <c r="B112" s="45" t="inlineStr">
        <is>
          <t>VTB BANK PJSC COMMON STOCK RUB 0.01</t>
        </is>
      </c>
      <c r="C112" s="47" t="n">
        <v>38470.1</v>
      </c>
      <c r="D112" s="19">
        <f>C112/$C$122</f>
        <v/>
      </c>
      <c r="E112" s="38" t="inlineStr">
        <is>
          <t>X8C6392</t>
        </is>
      </c>
    </row>
    <row r="113">
      <c r="A113" s="46" t="n">
        <v>297730</v>
      </c>
      <c r="B113" s="45" t="inlineStr">
        <is>
          <t>POLYUS PJSC COMMON STOCK RUB</t>
        </is>
      </c>
      <c r="C113" s="47" t="n">
        <v>30238.54</v>
      </c>
      <c r="D113" s="19">
        <f>C113/$C$122</f>
        <v/>
      </c>
      <c r="E113" s="38" t="inlineStr">
        <is>
          <t>X84D1F8</t>
        </is>
      </c>
    </row>
    <row r="114">
      <c r="A114" s="46" t="n">
        <v>432517</v>
      </c>
      <c r="B114" s="45" t="inlineStr">
        <is>
          <t>MD MEDICAL GROUP INVESTMENTS PLC GDR USD</t>
        </is>
      </c>
      <c r="C114" s="47" t="n">
        <v>18457.34</v>
      </c>
      <c r="D114" s="19">
        <f>C114/$C$122</f>
        <v/>
      </c>
      <c r="E114" s="38" t="inlineStr">
        <is>
          <t>X8C6397</t>
        </is>
      </c>
    </row>
    <row r="115">
      <c r="A115" s="46" t="n">
        <v>12313057</v>
      </c>
      <c r="B115" s="45" t="inlineStr">
        <is>
          <t>SISTEMA PJSFC COMMON STOCK RUB 0.09</t>
        </is>
      </c>
      <c r="C115" s="47" t="n">
        <v>13872.91</v>
      </c>
      <c r="D115" s="19">
        <f>C115/$C$122</f>
        <v/>
      </c>
      <c r="E115" s="38" t="inlineStr">
        <is>
          <t>X84D1F7</t>
        </is>
      </c>
    </row>
    <row r="116">
      <c r="A116" s="46" t="n">
        <v>577525</v>
      </c>
      <c r="B116" s="45" t="inlineStr">
        <is>
          <t>FIX PRICE GROUP LTD GDR</t>
        </is>
      </c>
      <c r="C116" s="47" t="n">
        <v>4064.34</v>
      </c>
      <c r="D116" s="19">
        <f>C116/$C$122</f>
        <v/>
      </c>
      <c r="E116" s="38" t="inlineStr">
        <is>
          <t>X84CF24</t>
        </is>
      </c>
    </row>
    <row r="117">
      <c r="A117" s="46" t="n">
        <v>75226</v>
      </c>
      <c r="B117" s="45" t="inlineStr">
        <is>
          <t>TCS GROUP HOLDING PLC GDR</t>
        </is>
      </c>
      <c r="C117" s="47" t="n">
        <v>1798.29</v>
      </c>
      <c r="D117" s="19">
        <f>C117/$C$122</f>
        <v/>
      </c>
      <c r="E117" s="38" t="inlineStr">
        <is>
          <t>X8C4FD3</t>
        </is>
      </c>
    </row>
    <row r="118">
      <c r="A118" s="46" t="n">
        <v>275182</v>
      </c>
      <c r="B118" s="45" t="inlineStr">
        <is>
          <t>X 5 RETAIL GROUP NV-REGS GDR</t>
        </is>
      </c>
      <c r="C118" s="47" t="n">
        <v>1094.8</v>
      </c>
      <c r="D118" s="19">
        <f>C118/$C$122</f>
        <v/>
      </c>
      <c r="E118" s="38" t="inlineStr">
        <is>
          <t>X8C4FD9</t>
        </is>
      </c>
    </row>
    <row r="119">
      <c r="A119" s="46" t="n">
        <v>1011.54</v>
      </c>
      <c r="B119" s="45" t="inlineStr">
        <is>
          <t>JPM USD LIQUIDITY LVNAV X (DIST.)</t>
        </is>
      </c>
      <c r="C119" s="47" t="n">
        <v>757.3099999999999</v>
      </c>
      <c r="D119" s="19">
        <f>C119/$C$122</f>
        <v/>
      </c>
      <c r="E119" s="38" t="inlineStr">
        <is>
          <t>7253766</t>
        </is>
      </c>
    </row>
    <row r="120">
      <c r="A120" s="46" t="n">
        <v>552780</v>
      </c>
      <c r="B120" s="45" t="inlineStr">
        <is>
          <t>SEVERSTAL PAO GDR USD</t>
        </is>
      </c>
      <c r="C120" s="47" t="n">
        <v>248.72</v>
      </c>
      <c r="D120" s="19">
        <f>C120/$C$122</f>
        <v/>
      </c>
      <c r="E120" s="38" t="inlineStr">
        <is>
          <t>X84C975</t>
        </is>
      </c>
    </row>
    <row r="121">
      <c r="A121" s="28" t="n"/>
      <c r="B121" s="2" t="n"/>
      <c r="C121" s="18" t="n"/>
      <c r="D121" s="19" t="n"/>
      <c r="E121" s="38" t="n"/>
    </row>
    <row r="122">
      <c r="A122" s="28" t="n"/>
      <c r="B122" s="21" t="inlineStr">
        <is>
          <t>Total portfolio</t>
        </is>
      </c>
      <c r="C122" s="39">
        <f>SUM(C12:C36)+SUM(C38:C56)+SUM(C58:C68)+SUM(C70:C88)+SUM(C90:C103)+SUM(C105:C109)+SUM(C111:C120)</f>
        <v/>
      </c>
      <c r="D122" s="19">
        <f>C122/$C$125</f>
        <v/>
      </c>
      <c r="E122" s="20" t="n"/>
    </row>
    <row r="123">
      <c r="A123" s="28" t="n"/>
      <c r="B123" s="21" t="inlineStr">
        <is>
          <t>Net Current Assets</t>
        </is>
      </c>
      <c r="C123" s="39" t="n">
        <v>600675.54</v>
      </c>
      <c r="D123" s="19">
        <f>C123/$C$125</f>
        <v/>
      </c>
      <c r="E123" s="20" t="n"/>
    </row>
    <row r="124">
      <c r="A124" s="28" t="n"/>
      <c r="B124" s="21" t="n"/>
      <c r="C124" s="39" t="n"/>
      <c r="D124" s="32" t="n"/>
      <c r="E124" s="20" t="n"/>
    </row>
    <row r="125">
      <c r="A125" s="17" t="n"/>
      <c r="B125" s="21" t="inlineStr">
        <is>
          <t>Total Assets</t>
        </is>
      </c>
      <c r="C125" s="22">
        <f>C122+C123</f>
        <v/>
      </c>
      <c r="D125" s="19">
        <f>C125/$C$125</f>
        <v/>
      </c>
      <c r="E125" s="3" t="n"/>
    </row>
    <row r="126" ht="12.75" customHeight="1" s="42">
      <c r="A12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7"/>
    <row r="128"/>
    <row r="129"/>
  </sheetData>
  <mergeCells count="2">
    <mergeCell ref="A126:E129"/>
    <mergeCell ref="A3:E6"/>
  </mergeCells>
  <conditionalFormatting sqref="B12:B14">
    <cfRule type="containsText" priority="2" operator="containsText" dxfId="0" text="LIQUIDITY">
      <formula>NOT(ISERROR(SEARCH("LIQUIDITY",B12)))</formula>
    </cfRule>
  </conditionalFormatting>
  <conditionalFormatting sqref="B16:B121">
    <cfRule type="containsText" priority="1" operator="containsText" dxfId="0" text="LIQUIDITY">
      <formula>NOT(ISERROR(SEARCH("LIQUIDITY",B16)))</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131"/>
  <sheetViews>
    <sheetView topLeftCell="A95" workbookViewId="0">
      <selection activeCell="B125" sqref="B125"/>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March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745334.09</v>
      </c>
      <c r="D12" s="19">
        <f>C12/$C$124</f>
        <v/>
      </c>
      <c r="E12" s="20" t="inlineStr">
        <is>
          <t>B12LZH9</t>
        </is>
      </c>
    </row>
    <row r="13">
      <c r="A13" s="41" t="n">
        <v>33759</v>
      </c>
      <c r="B13" s="2" t="inlineStr">
        <is>
          <t>GOLD FIELDS LTD COMMON STOCK ZAR 50</t>
        </is>
      </c>
      <c r="C13" s="18" t="n">
        <v>576535.4399999999</v>
      </c>
      <c r="D13" s="19">
        <f>C13/$C$124</f>
        <v/>
      </c>
      <c r="E13" s="20" t="inlineStr">
        <is>
          <t>6280215</t>
        </is>
      </c>
    </row>
    <row r="14">
      <c r="A14" s="41" t="n">
        <v>56252</v>
      </c>
      <c r="B14" s="2" t="inlineStr">
        <is>
          <t>STANDARD BANK GROUP LTD COMMON STOCK ZAR 10</t>
        </is>
      </c>
      <c r="C14" s="18" t="n">
        <v>567298.35</v>
      </c>
      <c r="D14" s="19">
        <f>C14/$C$124</f>
        <v/>
      </c>
      <c r="E14" s="20" t="inlineStr">
        <is>
          <t>B030GJ7</t>
        </is>
      </c>
    </row>
    <row r="15">
      <c r="A15" s="41" t="n">
        <v>181376</v>
      </c>
      <c r="B15" s="45" t="inlineStr">
        <is>
          <t>EMAAR PROPERTIES PJSC COMMON STOCK AED 1</t>
        </is>
      </c>
      <c r="C15" s="33" t="n">
        <v>508818.02</v>
      </c>
      <c r="D15" s="19">
        <f>C15/$C$124</f>
        <v/>
      </c>
      <c r="E15" s="20" t="inlineStr">
        <is>
          <t>B01RM25</t>
        </is>
      </c>
    </row>
    <row r="16">
      <c r="A16" s="41" t="n">
        <v>142756</v>
      </c>
      <c r="B16" s="2" t="inlineStr">
        <is>
          <t>QATAR NATIONAL BANK QPSC COMMON STOCK QAR 1</t>
        </is>
      </c>
      <c r="C16" s="18" t="n">
        <v>486017.09</v>
      </c>
      <c r="D16" s="19">
        <f>C16/$C$124</f>
        <v/>
      </c>
      <c r="E16" s="20" t="inlineStr">
        <is>
          <t>6148197</t>
        </is>
      </c>
    </row>
    <row r="17">
      <c r="A17" s="41" t="n">
        <v>8780</v>
      </c>
      <c r="B17" s="2" t="inlineStr">
        <is>
          <t>OTP BANK NYRT COMMON STOCK HUF 100</t>
        </is>
      </c>
      <c r="C17" s="18" t="n">
        <v>457037.57</v>
      </c>
      <c r="D17" s="19">
        <f>C17/$C$124</f>
        <v/>
      </c>
      <c r="E17" s="20" t="inlineStr">
        <is>
          <t>7320154</t>
        </is>
      </c>
    </row>
    <row r="18">
      <c r="A18" s="41" t="n">
        <v>2386</v>
      </c>
      <c r="B18" s="2" t="inlineStr">
        <is>
          <t>NASPERS LTD COMMON STOCK ZAR 2</t>
        </is>
      </c>
      <c r="C18" s="33" t="n">
        <v>454096.27</v>
      </c>
      <c r="D18" s="19">
        <f>C18/$C$124</f>
        <v/>
      </c>
      <c r="E18" s="20" t="inlineStr">
        <is>
          <t>BN0VX82</t>
        </is>
      </c>
    </row>
    <row r="19">
      <c r="A19" s="41" t="n">
        <v>29624</v>
      </c>
      <c r="B19" s="2" t="inlineStr">
        <is>
          <t>POWSZECHNA KASA OSZCZEDNOSCI BANK POLSKI SA COMMON STOCK PLN 1</t>
        </is>
      </c>
      <c r="C19" s="33" t="n">
        <v>445052.86</v>
      </c>
      <c r="D19" s="19">
        <f>C19/$C$124</f>
        <v/>
      </c>
      <c r="E19" s="20" t="inlineStr">
        <is>
          <t>B03NGS5</t>
        </is>
      </c>
    </row>
    <row r="20">
      <c r="A20" s="41" t="n">
        <v>143349</v>
      </c>
      <c r="B20" s="2" t="inlineStr">
        <is>
          <t>FIRSTRAND LTD COMMON STOCK ZAR 1</t>
        </is>
      </c>
      <c r="C20" s="18" t="n">
        <v>433802.71</v>
      </c>
      <c r="D20" s="19">
        <f>C20/$C$124</f>
        <v/>
      </c>
      <c r="E20" s="20" t="inlineStr">
        <is>
          <t>6606996</t>
        </is>
      </c>
    </row>
    <row r="21">
      <c r="A21" s="41" t="n">
        <v>22007</v>
      </c>
      <c r="B21" s="2" t="inlineStr">
        <is>
          <t>HALYK SAVINGS BANK OF KAZAKHSTAN JSC GDR USD</t>
        </is>
      </c>
      <c r="C21" s="18" t="n">
        <v>419424.52</v>
      </c>
      <c r="D21" s="19">
        <f>C21/$C$124</f>
        <v/>
      </c>
      <c r="E21" s="20" t="inlineStr">
        <is>
          <t>B1KDG41</t>
        </is>
      </c>
    </row>
    <row r="22">
      <c r="A22" s="41" t="n">
        <v>52717</v>
      </c>
      <c r="B22" s="2" t="inlineStr">
        <is>
          <t>NATIONAL BANK OF GREECE SA COMMON STOCK EUR 1</t>
        </is>
      </c>
      <c r="C22" s="18" t="n">
        <v>416823.9</v>
      </c>
      <c r="D22" s="19">
        <f>C22/$C$124</f>
        <v/>
      </c>
      <c r="E22" s="20" t="inlineStr">
        <is>
          <t>BG087C6</t>
        </is>
      </c>
    </row>
    <row r="23">
      <c r="A23" s="41" t="n">
        <v>35872</v>
      </c>
      <c r="B23" s="2" t="inlineStr">
        <is>
          <t>HARMONY GOLD MINING CO LTD COMMON STOCK ZAR 50</t>
        </is>
      </c>
      <c r="C23" s="18" t="n">
        <v>402551.16</v>
      </c>
      <c r="D23" s="19">
        <f>C23/$C$124</f>
        <v/>
      </c>
      <c r="E23" s="20" t="inlineStr">
        <is>
          <t>6410562</t>
        </is>
      </c>
    </row>
    <row r="24">
      <c r="A24" s="41" t="n">
        <v>117334</v>
      </c>
      <c r="B24" s="2" t="inlineStr">
        <is>
          <t>ABU DHABI ISLAMIC BANK PJSC COMMON STOCK AED 1</t>
        </is>
      </c>
      <c r="C24" s="18" t="n">
        <v>396971.44</v>
      </c>
      <c r="D24" s="19">
        <f>C24/$C$124</f>
        <v/>
      </c>
      <c r="E24" s="20" t="inlineStr">
        <is>
          <t>6001728</t>
        </is>
      </c>
    </row>
    <row r="25">
      <c r="A25" s="41" t="n">
        <v>54728</v>
      </c>
      <c r="B25" s="2" t="inlineStr">
        <is>
          <t>RIYAD BANK COMMON STOCK SAR 10</t>
        </is>
      </c>
      <c r="C25" s="18" t="n">
        <v>372446.77</v>
      </c>
      <c r="D25" s="19">
        <f>C25/$C$124</f>
        <v/>
      </c>
      <c r="E25" s="20" t="inlineStr">
        <is>
          <t>B12LZW4</t>
        </is>
      </c>
    </row>
    <row r="26">
      <c r="A26" s="41" t="n">
        <v>15105</v>
      </c>
      <c r="B26" s="2" t="inlineStr">
        <is>
          <t>NOVA LJUBLJANSKA BANKA DD GDR EUR</t>
        </is>
      </c>
      <c r="C26" s="18" t="n">
        <v>353949.09</v>
      </c>
      <c r="D26" s="19">
        <f>C26/$C$124</f>
        <v/>
      </c>
      <c r="E26" s="20" t="inlineStr">
        <is>
          <t>BGRPD22</t>
        </is>
      </c>
    </row>
    <row r="27">
      <c r="A27" s="41" t="n">
        <v>190207</v>
      </c>
      <c r="B27" s="2" t="inlineStr">
        <is>
          <t>ALDAR PROPERTIES PJSC COMMON STOCK AED 1</t>
        </is>
      </c>
      <c r="C27" s="18" t="n">
        <v>337406.55</v>
      </c>
      <c r="D27" s="19">
        <f>C27/$C$124</f>
        <v/>
      </c>
      <c r="E27" s="20" t="inlineStr">
        <is>
          <t>B0LX3Y2</t>
        </is>
      </c>
    </row>
    <row r="28">
      <c r="A28" s="41" t="n">
        <v>45346</v>
      </c>
      <c r="B28" s="2" t="inlineStr">
        <is>
          <t>THE SAUDI NATIONAL BANK</t>
        </is>
      </c>
      <c r="C28" s="18" t="n">
        <v>335290.49</v>
      </c>
      <c r="D28" s="19">
        <f>C28/$C$124</f>
        <v/>
      </c>
      <c r="E28" s="20" t="inlineStr">
        <is>
          <t>BSHYYN1</t>
        </is>
      </c>
    </row>
    <row r="29">
      <c r="A29" s="41" t="n">
        <v>78716</v>
      </c>
      <c r="B29" s="2" t="inlineStr">
        <is>
          <t>PIRAEUS FINANCIAL HOLDINGS SA COMMON STOCK EUR 0.93</t>
        </is>
      </c>
      <c r="C29" s="18" t="n">
        <v>332540.39</v>
      </c>
      <c r="D29" s="19">
        <f>C29/$C$124</f>
        <v/>
      </c>
      <c r="E29" s="20" t="inlineStr">
        <is>
          <t>BNC0DB0</t>
        </is>
      </c>
    </row>
    <row r="30">
      <c r="A30" s="41" t="n">
        <v>9341</v>
      </c>
      <c r="B30" s="2" t="inlineStr">
        <is>
          <t>METLEN ENERGY &amp; METALS SA COMMON STOCK EUR 0.97</t>
        </is>
      </c>
      <c r="C30" s="18" t="n">
        <v>317381.38</v>
      </c>
      <c r="D30" s="19">
        <f>C30/$C$124</f>
        <v/>
      </c>
      <c r="E30" s="20" t="inlineStr">
        <is>
          <t>5898664</t>
        </is>
      </c>
    </row>
    <row r="31">
      <c r="A31" s="41" t="n">
        <v>49901</v>
      </c>
      <c r="B31" s="2" t="inlineStr">
        <is>
          <t>ALINMA BANK COMMON STOCK SAR 10</t>
        </is>
      </c>
      <c r="C31" s="18" t="n">
        <v>316407.56</v>
      </c>
      <c r="D31" s="19">
        <f>C31/$C$124</f>
        <v/>
      </c>
      <c r="E31" s="20" t="inlineStr">
        <is>
          <t>B39NWT3</t>
        </is>
      </c>
    </row>
    <row r="32">
      <c r="A32" s="41" t="n">
        <v>208499</v>
      </c>
      <c r="B32" s="2" t="inlineStr">
        <is>
          <t>DUBAI ISLAMIC BANK PJSC COMMON STOCK AED 1</t>
        </is>
      </c>
      <c r="C32" s="18" t="n">
        <v>314882.13</v>
      </c>
      <c r="D32" s="19">
        <f>C32/$C$124</f>
        <v/>
      </c>
      <c r="E32" s="20" t="inlineStr">
        <is>
          <t>6283452</t>
        </is>
      </c>
    </row>
    <row r="33">
      <c r="A33" s="41" t="n">
        <v>55416</v>
      </c>
      <c r="B33" s="2" t="inlineStr">
        <is>
          <t>SAUDI ARABIAN OIL CO COMMON STOCK SAR</t>
        </is>
      </c>
      <c r="C33" s="18" t="n">
        <v>305594.59</v>
      </c>
      <c r="D33" s="19">
        <f>C33/$C$124</f>
        <v/>
      </c>
      <c r="E33" s="20" t="inlineStr">
        <is>
          <t>BJTM270</t>
        </is>
      </c>
    </row>
    <row r="34">
      <c r="A34" s="41" t="n">
        <v>155262</v>
      </c>
      <c r="B34" s="2" t="inlineStr">
        <is>
          <t>TURKCELL ILETISIM HIZMET AS</t>
        </is>
      </c>
      <c r="C34" s="18" t="n">
        <v>303412</v>
      </c>
      <c r="D34" s="19">
        <f>C34/$C$124</f>
        <v/>
      </c>
      <c r="E34" s="20" t="inlineStr">
        <is>
          <t>B03MYN3</t>
        </is>
      </c>
    </row>
    <row r="35">
      <c r="A35" s="41" t="n">
        <v>362649</v>
      </c>
      <c r="B35" s="2" t="inlineStr">
        <is>
          <t>LUKOIL PJSC COMMON STOCK RUB 0.025 RUB</t>
        </is>
      </c>
      <c r="C35" s="18" t="n">
        <v>170846.83</v>
      </c>
      <c r="D35" s="19">
        <f>C35/$C$124</f>
        <v/>
      </c>
      <c r="E35" s="20" t="inlineStr">
        <is>
          <t>X84C974</t>
        </is>
      </c>
    </row>
    <row r="36">
      <c r="A36" s="41" t="n">
        <v>262047</v>
      </c>
      <c r="B36" s="2" t="inlineStr">
        <is>
          <t>LUKOIL PJSC COMMON STOCK RUB</t>
        </is>
      </c>
      <c r="C36" s="18" t="n">
        <v>126601.09</v>
      </c>
      <c r="D36" s="19">
        <f>C36/$C$124</f>
        <v/>
      </c>
      <c r="E36" s="20" t="inlineStr">
        <is>
          <t>X84D1F5</t>
        </is>
      </c>
    </row>
    <row r="37">
      <c r="A37" s="28" t="n"/>
      <c r="B37" s="27" t="inlineStr">
        <is>
          <t>Subtotal</t>
        </is>
      </c>
      <c r="C37" s="29">
        <f>+C36+C35</f>
        <v/>
      </c>
      <c r="D37" s="31">
        <f>C37/$C$127</f>
        <v/>
      </c>
      <c r="E37" s="20" t="n"/>
    </row>
    <row r="38">
      <c r="A38" s="28" t="n">
        <v>487</v>
      </c>
      <c r="B38" s="2" t="inlineStr">
        <is>
          <t>BENEFIT SYSTEMS SA COMMON STOCK PLN 1</t>
        </is>
      </c>
      <c r="C38" s="18" t="n">
        <v>278742.79</v>
      </c>
      <c r="D38" s="19">
        <f>C38/$C$124</f>
        <v/>
      </c>
      <c r="E38" s="20" t="inlineStr">
        <is>
          <t>B4XY9X2</t>
        </is>
      </c>
    </row>
    <row r="39">
      <c r="A39" s="28" t="n">
        <v>43441</v>
      </c>
      <c r="B39" s="2" t="inlineStr">
        <is>
          <t>TURK HAVA YOLLARI AO COMMON STOCK TRY 1</t>
        </is>
      </c>
      <c r="C39" s="18" t="n">
        <v>275733.16</v>
      </c>
      <c r="D39" s="19">
        <f>C39/$C$124</f>
        <v/>
      </c>
      <c r="E39" s="20" t="inlineStr">
        <is>
          <t>B03MYK0</t>
        </is>
      </c>
    </row>
    <row r="40">
      <c r="A40" s="28" t="n">
        <v>149437</v>
      </c>
      <c r="B40" s="2" t="inlineStr">
        <is>
          <t>ALPHA SERVICES AND HOLDINGS SA COMMON STOCK EUR 0.29</t>
        </is>
      </c>
      <c r="C40" s="18" t="n">
        <v>275133.11</v>
      </c>
      <c r="D40" s="19">
        <f>C40/$C$124</f>
        <v/>
      </c>
      <c r="E40" s="20" t="inlineStr">
        <is>
          <t>BZ1MXR7</t>
        </is>
      </c>
    </row>
    <row r="41">
      <c r="A41" s="28" t="n">
        <v>56454</v>
      </c>
      <c r="B41" s="2" t="inlineStr">
        <is>
          <t>MONETA MONEY BANK AS COMMON STOCK CZK 20</t>
        </is>
      </c>
      <c r="C41" s="18" t="n">
        <v>274892.85</v>
      </c>
      <c r="D41" s="19">
        <f>C41/$C$124</f>
        <v/>
      </c>
      <c r="E41" s="20" t="inlineStr">
        <is>
          <t>BD3CQ16</t>
        </is>
      </c>
    </row>
    <row r="42">
      <c r="A42" s="28" t="n">
        <v>6644</v>
      </c>
      <c r="B42" s="2" t="inlineStr">
        <is>
          <t>TBC BANK GROUP PLC COMMON STOCK GBP 1</t>
        </is>
      </c>
      <c r="C42" s="18" t="n">
        <v>274397.2</v>
      </c>
      <c r="D42" s="19">
        <f>C42/$C$124</f>
        <v/>
      </c>
      <c r="E42" s="20" t="inlineStr">
        <is>
          <t>BYT1830</t>
        </is>
      </c>
    </row>
    <row r="43">
      <c r="A43" s="28" t="n">
        <v>23805</v>
      </c>
      <c r="B43" s="2" t="inlineStr">
        <is>
          <t>SHOPRITE HOLDINGS LTD COMMON STOCK ZAR 113.4</t>
        </is>
      </c>
      <c r="C43" s="18" t="n">
        <v>273323.84</v>
      </c>
      <c r="D43" s="19">
        <f>C43/$C$124</f>
        <v/>
      </c>
      <c r="E43" s="20" t="inlineStr">
        <is>
          <t>6801575</t>
        </is>
      </c>
    </row>
    <row r="44">
      <c r="A44" s="28" t="n">
        <v>24898</v>
      </c>
      <c r="B44" s="2" t="inlineStr">
        <is>
          <t>SARANTIS SA EUR1.53</t>
        </is>
      </c>
      <c r="C44" s="18" t="n">
        <v>267124.99</v>
      </c>
      <c r="D44" s="19">
        <f>C44/$C$124</f>
        <v/>
      </c>
      <c r="E44" s="20" t="inlineStr">
        <is>
          <t>7124958</t>
        </is>
      </c>
    </row>
    <row r="45">
      <c r="A45" s="28" t="n">
        <v>3703</v>
      </c>
      <c r="B45" s="2" t="inlineStr">
        <is>
          <t>JSC KASPI.KZ GDR-REG S</t>
        </is>
      </c>
      <c r="C45" s="18" t="n">
        <v>266375.01</v>
      </c>
      <c r="D45" s="19">
        <f>C45/$C$124</f>
        <v/>
      </c>
      <c r="E45" s="20" t="inlineStr">
        <is>
          <t>BJY21K1</t>
        </is>
      </c>
    </row>
    <row r="46">
      <c r="A46" s="28" t="n">
        <v>35367</v>
      </c>
      <c r="B46" s="2" t="inlineStr">
        <is>
          <t>ABSA GROUP LTD</t>
        </is>
      </c>
      <c r="C46" s="18" t="n">
        <v>263680.62</v>
      </c>
      <c r="D46" s="19">
        <f>C46/$C$124</f>
        <v/>
      </c>
      <c r="E46" s="20" t="inlineStr">
        <is>
          <t>BFX05H3</t>
        </is>
      </c>
    </row>
    <row r="47">
      <c r="A47" s="28" t="n">
        <v>127190</v>
      </c>
      <c r="B47" s="2" t="inlineStr">
        <is>
          <t>EUROBANK ERGASIAS SERVICES AND HOLDINGS SA COMMON STOCK EUR 0.22</t>
        </is>
      </c>
      <c r="C47" s="18" t="n">
        <v>262593.61</v>
      </c>
      <c r="D47" s="19">
        <f>C47/$C$124</f>
        <v/>
      </c>
      <c r="E47" s="20" t="inlineStr">
        <is>
          <t>BYZ43T4</t>
        </is>
      </c>
    </row>
    <row r="48">
      <c r="A48" s="28" t="n">
        <v>23041</v>
      </c>
      <c r="B48" s="2" t="inlineStr">
        <is>
          <t>POWSZECHNY ZAKLAD UBEZPIECZEN SA COMMON STOCK PLN 0.1</t>
        </is>
      </c>
      <c r="C48" s="18" t="n">
        <v>257682.11</v>
      </c>
      <c r="D48" s="19">
        <f>C48/$C$124</f>
        <v/>
      </c>
      <c r="E48" s="20" t="inlineStr">
        <is>
          <t>B63DG21</t>
        </is>
      </c>
    </row>
    <row r="49">
      <c r="A49" s="28" t="n">
        <v>7292</v>
      </c>
      <c r="B49" s="2" t="inlineStr">
        <is>
          <t>BANK POLSKA KASA OPIEKI SA COMMON STOCK PLN 1</t>
        </is>
      </c>
      <c r="C49" s="18" t="n">
        <v>256103.54</v>
      </c>
      <c r="D49" s="19">
        <f>C49/$C$124</f>
        <v/>
      </c>
      <c r="E49" s="20" t="inlineStr">
        <is>
          <t>5473113</t>
        </is>
      </c>
    </row>
    <row r="50">
      <c r="A50" s="28" t="n">
        <v>1247</v>
      </c>
      <c r="B50" s="2" t="inlineStr">
        <is>
          <t>ELM CO COMMON STOCK SAR 10</t>
        </is>
      </c>
      <c r="C50" s="18" t="n">
        <v>249825.87</v>
      </c>
      <c r="D50" s="19">
        <f>C50/$C$124</f>
        <v/>
      </c>
      <c r="E50" s="20" t="inlineStr">
        <is>
          <t>BNYDSH8</t>
        </is>
      </c>
    </row>
    <row r="51">
      <c r="A51" s="28" t="n">
        <v>71</v>
      </c>
      <c r="B51" s="2" t="inlineStr">
        <is>
          <t>LPP SA COMMON STOCK PLN 2</t>
        </is>
      </c>
      <c r="C51" s="18" t="n">
        <v>249643.97</v>
      </c>
      <c r="D51" s="19">
        <f>C51/$C$124</f>
        <v/>
      </c>
      <c r="E51" s="20" t="inlineStr">
        <is>
          <t>7127979</t>
        </is>
      </c>
    </row>
    <row r="52">
      <c r="A52" s="28" t="n">
        <v>9790</v>
      </c>
      <c r="B52" s="2" t="inlineStr">
        <is>
          <t>NAC KAZATOMPROM JSC GDR USD</t>
        </is>
      </c>
      <c r="C52" s="18" t="n">
        <v>247641.68</v>
      </c>
      <c r="D52" s="19">
        <f>C52/$C$124</f>
        <v/>
      </c>
      <c r="E52" s="20" t="inlineStr">
        <is>
          <t>BGXQL36</t>
        </is>
      </c>
    </row>
    <row r="53">
      <c r="A53" s="28" t="n">
        <v>11178</v>
      </c>
      <c r="B53" s="2" t="inlineStr">
        <is>
          <t>RICHTER GEDEON NYRT COMMON STOCK HUF 100</t>
        </is>
      </c>
      <c r="C53" s="18" t="n">
        <v>237898.13</v>
      </c>
      <c r="D53" s="19">
        <f>C53/$C$124</f>
        <v/>
      </c>
      <c r="E53" s="20" t="inlineStr">
        <is>
          <t>BC9ZH86</t>
        </is>
      </c>
    </row>
    <row r="54">
      <c r="A54" s="28" t="n">
        <v>55815</v>
      </c>
      <c r="B54" s="2" t="inlineStr">
        <is>
          <t>ARABIAN CENTRES CO COMMON STOCK SAR 10</t>
        </is>
      </c>
      <c r="C54" s="18" t="n">
        <v>237244.15</v>
      </c>
      <c r="D54" s="19">
        <f>C54/$C$124</f>
        <v/>
      </c>
      <c r="E54" s="20" t="inlineStr">
        <is>
          <t>BKBF694</t>
        </is>
      </c>
    </row>
    <row r="55">
      <c r="A55" s="28" t="n">
        <v>4215</v>
      </c>
      <c r="B55" s="2" t="inlineStr">
        <is>
          <t>LION FINANCE GROUP PLC COMMON STOCK GBP 1</t>
        </is>
      </c>
      <c r="C55" s="18" t="n">
        <v>230139</v>
      </c>
      <c r="D55" s="19">
        <f>C55/$C$124</f>
        <v/>
      </c>
      <c r="E55" s="20" t="inlineStr">
        <is>
          <t>BF4HYT8</t>
        </is>
      </c>
    </row>
    <row r="56">
      <c r="A56" s="28" t="n">
        <v>23094</v>
      </c>
      <c r="B56" s="2" t="inlineStr">
        <is>
          <t>BIDVEST GROUP LTD COMMON STOCK ZAR 5</t>
        </is>
      </c>
      <c r="C56" s="18" t="n">
        <v>229098.02</v>
      </c>
      <c r="D56" s="19">
        <f>C56/$C$124</f>
        <v/>
      </c>
      <c r="E56" s="20" t="inlineStr">
        <is>
          <t>6100089</t>
        </is>
      </c>
    </row>
    <row r="57">
      <c r="A57" s="28" t="n">
        <v>13207</v>
      </c>
      <c r="B57" s="2" t="inlineStr">
        <is>
          <t>UNITED INTERNATIONAL TRANSPORTATION CO COMMON STOCK SAR 10</t>
        </is>
      </c>
      <c r="C57" s="18" t="n">
        <v>226675.42</v>
      </c>
      <c r="D57" s="19">
        <f>C57/$C$124</f>
        <v/>
      </c>
      <c r="E57" s="20" t="inlineStr">
        <is>
          <t>B2493D0</t>
        </is>
      </c>
    </row>
    <row r="58">
      <c r="A58" s="28" t="n">
        <v>23877</v>
      </c>
      <c r="B58" s="2" t="inlineStr">
        <is>
          <t>BIM BIRLESIK MAGAZALAR AS COMMON STOCK TRY 1</t>
        </is>
      </c>
      <c r="C58" s="18" t="n">
        <v>223311.47</v>
      </c>
      <c r="D58" s="19">
        <f>C58/$C$124</f>
        <v/>
      </c>
      <c r="E58" s="20" t="inlineStr">
        <is>
          <t>B0D0006</t>
        </is>
      </c>
    </row>
    <row r="59">
      <c r="A59" s="28" t="n">
        <v>8860909</v>
      </c>
      <c r="B59" s="2" t="inlineStr">
        <is>
          <t>GAZPROM PJSC COMMON STOCK RUB</t>
        </is>
      </c>
      <c r="C59" s="18" t="n">
        <v>197701.76</v>
      </c>
      <c r="D59" s="19">
        <f>C59/$C$124</f>
        <v/>
      </c>
      <c r="E59" s="20" t="inlineStr">
        <is>
          <t>X8C529A</t>
        </is>
      </c>
    </row>
    <row r="60">
      <c r="A60" s="28" t="n">
        <v>5365084</v>
      </c>
      <c r="B60" s="2" t="inlineStr">
        <is>
          <t>GAZPROM PJSC ADR</t>
        </is>
      </c>
      <c r="C60" s="18" t="n">
        <v>24166.26</v>
      </c>
      <c r="D60" s="19">
        <f>C60/$C$124</f>
        <v/>
      </c>
      <c r="E60" s="20" t="inlineStr">
        <is>
          <t>X84C976</t>
        </is>
      </c>
    </row>
    <row r="61">
      <c r="A61" s="28" t="n"/>
      <c r="B61" s="27" t="inlineStr">
        <is>
          <t>Subtotal</t>
        </is>
      </c>
      <c r="C61" s="29">
        <f>+C60+C59</f>
        <v/>
      </c>
      <c r="D61" s="31">
        <f>C61/$C$127</f>
        <v/>
      </c>
      <c r="E61" s="38" t="n"/>
    </row>
    <row r="62">
      <c r="A62" s="41" t="n">
        <v>85774</v>
      </c>
      <c r="B62" s="2" t="inlineStr">
        <is>
          <t>EMAAR DEVELOPMENT PJSC COMMON STOCK AED 1</t>
        </is>
      </c>
      <c r="C62" s="18" t="n">
        <v>221627.05</v>
      </c>
      <c r="D62" s="19">
        <f>C62/$C$124</f>
        <v/>
      </c>
      <c r="E62" s="38" t="inlineStr">
        <is>
          <t>BDG1977</t>
        </is>
      </c>
    </row>
    <row r="63">
      <c r="A63" s="41" t="n">
        <v>10435</v>
      </c>
      <c r="B63" s="2" t="inlineStr">
        <is>
          <t>JUMBO SA COMMON STOCK EUR 0.88</t>
        </is>
      </c>
      <c r="C63" s="18" t="n">
        <v>221114.99</v>
      </c>
      <c r="D63" s="19">
        <f>C63/$C$124</f>
        <v/>
      </c>
      <c r="E63" s="38" t="inlineStr">
        <is>
          <t>7243530</t>
        </is>
      </c>
    </row>
    <row r="64">
      <c r="A64" s="41" t="n">
        <v>20472</v>
      </c>
      <c r="B64" s="2" t="inlineStr">
        <is>
          <t>SAUDI GROUND SERVICES CO COMMON STOCK SAR 10</t>
        </is>
      </c>
      <c r="C64" s="18" t="n">
        <v>218177.12</v>
      </c>
      <c r="D64" s="19">
        <f>C64/$C$124</f>
        <v/>
      </c>
      <c r="E64" s="38" t="inlineStr">
        <is>
          <t>BYYTJ69</t>
        </is>
      </c>
    </row>
    <row r="65">
      <c r="A65" s="41" t="n">
        <v>27398</v>
      </c>
      <c r="B65" s="2" t="inlineStr">
        <is>
          <t>SAUDI AWWAL BANK COMMON STOCK SAR 10</t>
        </is>
      </c>
      <c r="C65" s="18" t="n">
        <v>211919</v>
      </c>
      <c r="D65" s="19">
        <f>C65/$C$124</f>
        <v/>
      </c>
      <c r="E65" s="38" t="inlineStr">
        <is>
          <t>B12LSY7</t>
        </is>
      </c>
    </row>
    <row r="66">
      <c r="A66" s="41" t="n">
        <v>573074</v>
      </c>
      <c r="B66" s="2" t="inlineStr">
        <is>
          <t>TURKIYE SIGORTA AS COMMON STOCK TRY 1</t>
        </is>
      </c>
      <c r="C66" s="18" t="n">
        <v>211230.8</v>
      </c>
      <c r="D66" s="19">
        <f>C66/$C$124</f>
        <v/>
      </c>
      <c r="E66" s="38" t="inlineStr">
        <is>
          <t>B03MTD8</t>
        </is>
      </c>
    </row>
    <row r="67">
      <c r="A67" s="41" t="n">
        <v>5652</v>
      </c>
      <c r="B67" s="2" t="inlineStr">
        <is>
          <t>KOMERCNI BANKA AS COMMON STOCK CZK 100</t>
        </is>
      </c>
      <c r="C67" s="18" t="n">
        <v>210480.2</v>
      </c>
      <c r="D67" s="19">
        <f>C67/$C$124</f>
        <v/>
      </c>
      <c r="E67" s="38" t="inlineStr">
        <is>
          <t>4519449</t>
        </is>
      </c>
    </row>
    <row r="68">
      <c r="A68" s="41" t="n">
        <v>14455036</v>
      </c>
      <c r="B68" s="2" t="inlineStr">
        <is>
          <t>SBERBANK OF RUSSIA PJSC PREFERENCE RUB 3</t>
        </is>
      </c>
      <c r="C68" s="18" t="n">
        <v>177913.58</v>
      </c>
      <c r="D68" s="19">
        <f>C68/$C$124</f>
        <v/>
      </c>
      <c r="E68" s="38" t="inlineStr">
        <is>
          <t>X8C6155</t>
        </is>
      </c>
    </row>
    <row r="69">
      <c r="A69" s="41" t="n">
        <v>2355925</v>
      </c>
      <c r="B69" s="2" t="inlineStr">
        <is>
          <t>SBERBANK OF RUSSIA PJSC</t>
        </is>
      </c>
      <c r="C69" s="18" t="n">
        <v>28787.32</v>
      </c>
      <c r="D69" s="19">
        <f>C69/$C$124</f>
        <v/>
      </c>
      <c r="E69" s="38" t="inlineStr">
        <is>
          <t>X8C6398</t>
        </is>
      </c>
    </row>
    <row r="70">
      <c r="A70" s="41" t="n"/>
      <c r="B70" s="27" t="inlineStr">
        <is>
          <t>Subtotal</t>
        </is>
      </c>
      <c r="C70" s="29">
        <f>+C69+C68</f>
        <v/>
      </c>
      <c r="D70" s="31">
        <f>C70/$C$127</f>
        <v/>
      </c>
      <c r="E70" s="38" t="n"/>
    </row>
    <row r="71">
      <c r="A71" s="28" t="n">
        <v>3863</v>
      </c>
      <c r="B71" s="2" t="inlineStr">
        <is>
          <t>ERSTE GROUP BANK AG COMMON STOCK EUR 0</t>
        </is>
      </c>
      <c r="C71" s="18" t="n">
        <v>206062.42</v>
      </c>
      <c r="D71" s="19">
        <f>C71/$C$124</f>
        <v/>
      </c>
      <c r="E71" s="38" t="inlineStr">
        <is>
          <t>5289837</t>
        </is>
      </c>
    </row>
    <row r="72">
      <c r="A72" s="28" t="n">
        <v>61078</v>
      </c>
      <c r="B72" s="2" t="inlineStr">
        <is>
          <t>MAGYAR TELEKOM TELECOMMUNICATIONS PLC COMMON STOCK HUF 100</t>
        </is>
      </c>
      <c r="C72" s="18" t="n">
        <v>205702.09</v>
      </c>
      <c r="D72" s="19">
        <f>C72/$C$124</f>
        <v/>
      </c>
      <c r="E72" s="38" t="inlineStr">
        <is>
          <t>4577469</t>
        </is>
      </c>
    </row>
    <row r="73">
      <c r="A73" s="28" t="n">
        <v>1238</v>
      </c>
      <c r="B73" s="2" t="inlineStr">
        <is>
          <t>GRUPA KETY SA COMMON STOCK PLN 2.5</t>
        </is>
      </c>
      <c r="C73" s="18" t="n">
        <v>204539.04</v>
      </c>
      <c r="D73" s="19">
        <f>C73/$C$124</f>
        <v/>
      </c>
      <c r="E73" s="38" t="inlineStr">
        <is>
          <t>5216385</t>
        </is>
      </c>
    </row>
    <row r="74">
      <c r="A74" s="28" t="n">
        <v>9456</v>
      </c>
      <c r="B74" s="2" t="inlineStr">
        <is>
          <t>FORD OTOMOTIV SANAYI AS COMMON STOCK TRY 1</t>
        </is>
      </c>
      <c r="C74" s="18" t="n">
        <v>204184.1</v>
      </c>
      <c r="D74" s="19">
        <f>C74/$C$124</f>
        <v/>
      </c>
      <c r="E74" s="38" t="inlineStr">
        <is>
          <t>B03MSR5</t>
        </is>
      </c>
    </row>
    <row r="75">
      <c r="A75" s="28" t="n">
        <v>32435</v>
      </c>
      <c r="B75" s="2" t="inlineStr">
        <is>
          <t>MOL HUNGARIAN OIL &amp; GAS PLC COMMON STOCK HUF 125</t>
        </is>
      </c>
      <c r="C75" s="18" t="n">
        <v>197595.5</v>
      </c>
      <c r="D75" s="19">
        <f>C75/$C$124</f>
        <v/>
      </c>
      <c r="E75" s="38" t="inlineStr">
        <is>
          <t>BD5ZXH8</t>
        </is>
      </c>
    </row>
    <row r="76">
      <c r="A76" s="28" t="n">
        <v>196322</v>
      </c>
      <c r="B76" s="2" t="inlineStr">
        <is>
          <t>QATAR GAS TRANSPORT CO LTD COMMON STOCK QAR 1</t>
        </is>
      </c>
      <c r="C76" s="18" t="n">
        <v>192578.18</v>
      </c>
      <c r="D76" s="19">
        <f>C76/$C$124</f>
        <v/>
      </c>
      <c r="E76" s="38" t="inlineStr">
        <is>
          <t>B0MLBC9</t>
        </is>
      </c>
    </row>
    <row r="77">
      <c r="A77" s="28" t="n">
        <v>182204</v>
      </c>
      <c r="B77" s="2" t="inlineStr">
        <is>
          <t>PARKIN CO PJSC COMMON STOCK AED 0.02</t>
        </is>
      </c>
      <c r="C77" s="18" t="n">
        <v>191773.89</v>
      </c>
      <c r="D77" s="19">
        <f>C77/$C$124</f>
        <v/>
      </c>
      <c r="E77" s="38" t="inlineStr">
        <is>
          <t>BRRGQF6</t>
        </is>
      </c>
    </row>
    <row r="78">
      <c r="A78" s="28" t="n">
        <v>169475</v>
      </c>
      <c r="B78" s="2" t="inlineStr">
        <is>
          <t>ADNOC DRILLING CO PJSC COMMON STOCK AED</t>
        </is>
      </c>
      <c r="C78" s="18" t="n">
        <v>183738.34</v>
      </c>
      <c r="D78" s="19">
        <f>C78/$C$124</f>
        <v/>
      </c>
      <c r="E78" s="38" t="inlineStr">
        <is>
          <t>BN12D39</t>
        </is>
      </c>
    </row>
    <row r="79">
      <c r="A79" s="41" t="n">
        <v>4951</v>
      </c>
      <c r="B79" s="2" t="inlineStr">
        <is>
          <t>BUPA ARABIA FOR COOPERATIVE INSURANCE CO COMMON STOCK SAR 10</t>
        </is>
      </c>
      <c r="C79" s="33" t="n">
        <v>180380.97</v>
      </c>
      <c r="D79" s="19">
        <f>C79/$C$124</f>
        <v/>
      </c>
      <c r="E79" s="38" t="inlineStr">
        <is>
          <t>B2RLCR0</t>
        </is>
      </c>
    </row>
    <row r="80">
      <c r="A80" s="28" t="n">
        <v>6082</v>
      </c>
      <c r="B80" s="2" t="inlineStr">
        <is>
          <t>CO FOR COOPERATIVE INSURANCE/THE COMMON STOCK SAR 10</t>
        </is>
      </c>
      <c r="C80" s="18" t="n">
        <v>177621.3</v>
      </c>
      <c r="D80" s="19">
        <f>C80/$C$124</f>
        <v/>
      </c>
      <c r="E80" s="38" t="inlineStr">
        <is>
          <t>B128FN6</t>
        </is>
      </c>
    </row>
    <row r="81">
      <c r="A81" s="28" t="n">
        <v>6134</v>
      </c>
      <c r="B81" s="2" t="inlineStr">
        <is>
          <t>ALDREES PETROLEUM AND TRANSPORT SERVICES CO COMMON STOCK SAR 10</t>
        </is>
      </c>
      <c r="C81" s="18" t="n">
        <v>176352.75</v>
      </c>
      <c r="D81" s="19">
        <f>C81/$C$124</f>
        <v/>
      </c>
      <c r="E81" s="38" t="inlineStr">
        <is>
          <t>B128FF8</t>
        </is>
      </c>
    </row>
    <row r="82">
      <c r="A82" s="28" t="n">
        <v>52290</v>
      </c>
      <c r="B82" s="2" t="inlineStr">
        <is>
          <t>ADES HOLDING CO COMMON STOCK SAR 1</t>
        </is>
      </c>
      <c r="C82" s="18" t="n">
        <v>176037.61</v>
      </c>
      <c r="D82" s="19">
        <f>C82/$C$124</f>
        <v/>
      </c>
      <c r="E82" s="38" t="inlineStr">
        <is>
          <t>BR56KM3</t>
        </is>
      </c>
    </row>
    <row r="83">
      <c r="A83" s="28" t="n">
        <v>54321</v>
      </c>
      <c r="B83" s="2" t="inlineStr">
        <is>
          <t>SASOL LTD COMMON STOCK ZAR 0</t>
        </is>
      </c>
      <c r="C83" s="18" t="n">
        <v>175049.33</v>
      </c>
      <c r="D83" s="19">
        <f>C83/$C$124</f>
        <v/>
      </c>
      <c r="E83" s="38" t="inlineStr">
        <is>
          <t>6777450</t>
        </is>
      </c>
    </row>
    <row r="84">
      <c r="A84" s="28" t="n">
        <v>8660</v>
      </c>
      <c r="B84" s="2" t="inlineStr">
        <is>
          <t>RAIFFEISEN BANK INTERNATIONAL AG COMMON STOCK EUR 0</t>
        </is>
      </c>
      <c r="C84" s="18" t="n">
        <v>171762.47</v>
      </c>
      <c r="D84" s="19">
        <f>C84/$C$124</f>
        <v/>
      </c>
      <c r="E84" s="38" t="inlineStr">
        <is>
          <t>B0704T9</t>
        </is>
      </c>
    </row>
    <row r="85">
      <c r="A85" s="28" t="n">
        <v>44675</v>
      </c>
      <c r="B85" s="2" t="inlineStr">
        <is>
          <t>AVI LTD COMMON STOCK ZAR 5</t>
        </is>
      </c>
      <c r="C85" s="18" t="n">
        <v>166848.98</v>
      </c>
      <c r="D85" s="19">
        <f>C85/$C$124</f>
        <v/>
      </c>
      <c r="E85" s="38" t="inlineStr">
        <is>
          <t>6040958</t>
        </is>
      </c>
    </row>
    <row r="86">
      <c r="A86" s="28" t="n">
        <v>6309</v>
      </c>
      <c r="B86" s="2" t="inlineStr">
        <is>
          <t>RIYADH CABLES GROUP CO COMMON STOCK SAR 10</t>
        </is>
      </c>
      <c r="C86" s="18" t="n">
        <v>165486.84</v>
      </c>
      <c r="D86" s="19">
        <f>C86/$C$124</f>
        <v/>
      </c>
      <c r="E86" s="38" t="inlineStr">
        <is>
          <t>BNBPXW7</t>
        </is>
      </c>
    </row>
    <row r="87">
      <c r="A87" s="28" t="n">
        <v>21418</v>
      </c>
      <c r="B87" s="2" t="inlineStr">
        <is>
          <t>ATHENS INTERNATIONAL AIRPORT SA COMMON STOCK EUR 1</t>
        </is>
      </c>
      <c r="C87" s="18" t="n">
        <v>162967.27</v>
      </c>
      <c r="D87" s="19">
        <f>C87/$C$124</f>
        <v/>
      </c>
      <c r="E87" s="38" t="inlineStr">
        <is>
          <t>BPYS8N3</t>
        </is>
      </c>
    </row>
    <row r="88">
      <c r="A88" s="28" t="n">
        <v>2568</v>
      </c>
      <c r="B88" s="2" t="inlineStr">
        <is>
          <t>SAUDIA DAIRY &amp; FOODSTUFF CO COMMON STOCK SAR 10</t>
        </is>
      </c>
      <c r="C88" s="18" t="n">
        <v>159646.99</v>
      </c>
      <c r="D88" s="19">
        <f>C88/$C$124</f>
        <v/>
      </c>
      <c r="E88" s="38" t="inlineStr">
        <is>
          <t>B133P41</t>
        </is>
      </c>
    </row>
    <row r="89">
      <c r="A89" s="28" t="n">
        <v>1268490</v>
      </c>
      <c r="B89" s="2" t="inlineStr">
        <is>
          <t>NOVATEK PJSC COMMON STOCK RUB 0.1</t>
        </is>
      </c>
      <c r="C89" s="18" t="n">
        <v>147152.22</v>
      </c>
      <c r="D89" s="19">
        <f>C89/$C$124</f>
        <v/>
      </c>
      <c r="E89" s="38" t="inlineStr">
        <is>
          <t>X84C972</t>
        </is>
      </c>
    </row>
    <row r="90">
      <c r="A90" s="28" t="n">
        <v>103572</v>
      </c>
      <c r="B90" s="2" t="inlineStr">
        <is>
          <t>NOVATEK PJSC COMMON STOCK RUB 0.1</t>
        </is>
      </c>
      <c r="C90" s="18" t="n">
        <v>12321.39</v>
      </c>
      <c r="D90" s="19">
        <f>C90/$C$124</f>
        <v/>
      </c>
      <c r="E90" s="38" t="inlineStr">
        <is>
          <t>X84C970</t>
        </is>
      </c>
    </row>
    <row r="91">
      <c r="A91" s="28" t="n"/>
      <c r="B91" s="27" t="inlineStr">
        <is>
          <t>Subtotal</t>
        </is>
      </c>
      <c r="C91" s="29">
        <f>+C90+C89</f>
        <v/>
      </c>
      <c r="D91" s="31">
        <f>C91/$C$127</f>
        <v/>
      </c>
      <c r="E91" s="38" t="n"/>
    </row>
    <row r="92">
      <c r="A92" s="28" t="n">
        <v>4593</v>
      </c>
      <c r="B92" s="2" t="inlineStr">
        <is>
          <t>ALKHORAYEF WATER &amp; POWER TECHNOLOGIES CO COMMON STOCK SAR 10</t>
        </is>
      </c>
      <c r="C92" s="18" t="n">
        <v>156523.52</v>
      </c>
      <c r="D92" s="19">
        <f>C92/$C$124</f>
        <v/>
      </c>
      <c r="E92" s="38" t="inlineStr">
        <is>
          <t>BN33QN1</t>
        </is>
      </c>
    </row>
    <row r="93">
      <c r="A93" s="28" t="n">
        <v>7008</v>
      </c>
      <c r="B93" s="2" t="inlineStr">
        <is>
          <t>SAUDI ARAMCO BASE OIL CO COMMON STOCK SAR 10</t>
        </is>
      </c>
      <c r="C93" s="18" t="n">
        <v>151978.66</v>
      </c>
      <c r="D93" s="19">
        <f>C93/$C$124</f>
        <v/>
      </c>
      <c r="E93" s="38" t="inlineStr">
        <is>
          <t>BMDKMB5</t>
        </is>
      </c>
    </row>
    <row r="94">
      <c r="A94" s="28" t="n">
        <v>7795</v>
      </c>
      <c r="B94" s="2" t="inlineStr">
        <is>
          <t>UNITED ELECTRONICS CO COMMON STOCK SAR</t>
        </is>
      </c>
      <c r="C94" s="18" t="n">
        <v>151658.32</v>
      </c>
      <c r="D94" s="19">
        <f>C94/$C$124</f>
        <v/>
      </c>
      <c r="E94" s="38" t="inlineStr">
        <is>
          <t>B4P2SD7</t>
        </is>
      </c>
    </row>
    <row r="95">
      <c r="A95" s="28" t="n">
        <v>234111</v>
      </c>
      <c r="B95" s="2" t="inlineStr">
        <is>
          <t>TECOM GROUP PJSC COMMON STOCK AED 0.1</t>
        </is>
      </c>
      <c r="C95" s="18" t="n">
        <v>150609.61</v>
      </c>
      <c r="D95" s="19">
        <f>C95/$C$124</f>
        <v/>
      </c>
      <c r="E95" s="38" t="inlineStr">
        <is>
          <t>BLDC8Q1</t>
        </is>
      </c>
    </row>
    <row r="96">
      <c r="A96" s="28" t="n">
        <v>50663</v>
      </c>
      <c r="B96" s="2" t="inlineStr">
        <is>
          <t>TUPRAS-TURKIYE PETROL RAFINE</t>
        </is>
      </c>
      <c r="C96" s="18" t="n">
        <v>142588.33</v>
      </c>
      <c r="D96" s="19">
        <f>C96/$C$124</f>
        <v/>
      </c>
      <c r="E96" s="38" t="inlineStr">
        <is>
          <t>B03MYT9</t>
        </is>
      </c>
    </row>
    <row r="97">
      <c r="A97" s="28" t="n">
        <v>1892</v>
      </c>
      <c r="B97" s="2" t="inlineStr">
        <is>
          <t>KRUK SA COMMON STOCK PLN 1</t>
        </is>
      </c>
      <c r="C97" s="18" t="n">
        <v>142574.83</v>
      </c>
      <c r="D97" s="19">
        <f>C97/$C$124</f>
        <v/>
      </c>
      <c r="E97" s="38" t="inlineStr">
        <is>
          <t>B4PTLY0</t>
        </is>
      </c>
    </row>
    <row r="98">
      <c r="A98" s="28" t="n">
        <v>4537</v>
      </c>
      <c r="B98" s="2" t="inlineStr">
        <is>
          <t>LEEJAM SPORTS CO JSC COMMON STOCK SAR 10</t>
        </is>
      </c>
      <c r="C98" s="18" t="n">
        <v>141683.67</v>
      </c>
      <c r="D98" s="19">
        <f>C98/$C$124</f>
        <v/>
      </c>
      <c r="E98" s="38" t="inlineStr">
        <is>
          <t>BF12ZV5</t>
        </is>
      </c>
    </row>
    <row r="99">
      <c r="A99" s="28" t="n">
        <v>133931</v>
      </c>
      <c r="B99" s="2" t="inlineStr">
        <is>
          <t>ADNOC LOGISTICS &amp; SERVICES COMMON STOCK AED 1.983</t>
        </is>
      </c>
      <c r="C99" s="18" t="n">
        <v>138987.98</v>
      </c>
      <c r="D99" s="19">
        <f>C99/$C$124</f>
        <v/>
      </c>
      <c r="E99" s="38" t="inlineStr">
        <is>
          <t>BRBN103</t>
        </is>
      </c>
    </row>
    <row r="100">
      <c r="A100" s="28" t="n">
        <v>7119200</v>
      </c>
      <c r="B100" s="2" t="inlineStr">
        <is>
          <t>MMC NORILSK NICKEL PJSC COMMON STOCK RUB 1</t>
        </is>
      </c>
      <c r="C100" s="18" t="n">
        <v>133130.23</v>
      </c>
      <c r="D100" s="19">
        <f>C100/$C$124</f>
        <v/>
      </c>
      <c r="E100" s="38" t="inlineStr">
        <is>
          <t>X84C977</t>
        </is>
      </c>
    </row>
    <row r="101">
      <c r="A101" s="28" t="n">
        <v>27608</v>
      </c>
      <c r="B101" s="2" t="inlineStr">
        <is>
          <t>BANCA TRANSILVANIA SA COMMON STOCK RON 1</t>
        </is>
      </c>
      <c r="C101" s="18" t="n">
        <v>132743.54</v>
      </c>
      <c r="D101" s="19">
        <f>C101/$C$124</f>
        <v/>
      </c>
      <c r="E101" s="38" t="inlineStr">
        <is>
          <t>5393307</t>
        </is>
      </c>
    </row>
    <row r="102">
      <c r="A102" s="28" t="n">
        <v>53407</v>
      </c>
      <c r="B102" s="2" t="inlineStr">
        <is>
          <t>TURKIYE GARANTI BANKASI AS COMMON STOCK TRY 1</t>
        </is>
      </c>
      <c r="C102" s="18" t="n">
        <v>128620.14</v>
      </c>
      <c r="D102" s="19">
        <f>C102/$C$124</f>
        <v/>
      </c>
      <c r="E102" s="38" t="inlineStr">
        <is>
          <t>B03MYP5</t>
        </is>
      </c>
    </row>
    <row r="103">
      <c r="A103" s="28" t="n">
        <v>6774</v>
      </c>
      <c r="B103" s="2" t="inlineStr">
        <is>
          <t>JERONIMO MARTINS SGPS SA COMMON STOCK EUR 1</t>
        </is>
      </c>
      <c r="C103" s="18" t="n">
        <v>110829.15</v>
      </c>
      <c r="D103" s="19">
        <f>C103/$C$124</f>
        <v/>
      </c>
      <c r="E103" s="38" t="inlineStr">
        <is>
          <t>B1Y1SQ7</t>
        </is>
      </c>
    </row>
    <row r="104">
      <c r="A104" s="28" t="n">
        <v>2041744</v>
      </c>
      <c r="B104" s="2" t="inlineStr">
        <is>
          <t>ROSNEFT OIL CO PJSC COMMON STOCK RUB 0.01</t>
        </is>
      </c>
      <c r="C104" s="18" t="n">
        <v>58881.83</v>
      </c>
      <c r="D104" s="19">
        <f>C104/$C$124</f>
        <v/>
      </c>
      <c r="E104" s="38" t="inlineStr">
        <is>
          <t>X84C971</t>
        </is>
      </c>
    </row>
    <row r="105">
      <c r="A105" s="28" t="n">
        <v>1677948</v>
      </c>
      <c r="B105" s="2" t="inlineStr">
        <is>
          <t>ROSNEFT OIL CO PJSC COMMON STOCK RUB</t>
        </is>
      </c>
      <c r="C105" s="18" t="n">
        <v>47244.08</v>
      </c>
      <c r="D105" s="19">
        <f>C105/$C$124</f>
        <v/>
      </c>
      <c r="E105" s="38" t="inlineStr">
        <is>
          <t>X84D1F9</t>
        </is>
      </c>
    </row>
    <row r="106">
      <c r="A106" s="28" t="n"/>
      <c r="B106" s="27" t="inlineStr">
        <is>
          <t>Subtotal</t>
        </is>
      </c>
      <c r="C106" s="29">
        <f>+C105+C104</f>
        <v/>
      </c>
      <c r="D106" s="31">
        <f>C106/$C$127</f>
        <v/>
      </c>
      <c r="E106" s="38" t="n"/>
    </row>
    <row r="107">
      <c r="A107" s="28" t="n">
        <v>3657350</v>
      </c>
      <c r="B107" s="2" t="inlineStr">
        <is>
          <t>NOVOLIPETSK STEEL PJSC COMMON STOCK RUB</t>
        </is>
      </c>
      <c r="C107" s="18" t="n">
        <v>62688.22</v>
      </c>
      <c r="D107" s="19">
        <f>C107/$C$124</f>
        <v/>
      </c>
      <c r="E107" s="38" t="inlineStr">
        <is>
          <t>X84C97E</t>
        </is>
      </c>
    </row>
    <row r="108">
      <c r="A108" s="28" t="n">
        <v>180877</v>
      </c>
      <c r="B108" s="2" t="inlineStr">
        <is>
          <t>MAGNIT PJSC COMMON STOCK RUB 0.01</t>
        </is>
      </c>
      <c r="C108" s="18" t="n">
        <v>52501.81</v>
      </c>
      <c r="D108" s="19">
        <f>C108/$C$124</f>
        <v/>
      </c>
      <c r="E108" s="38" t="inlineStr">
        <is>
          <t>X8C505A</t>
        </is>
      </c>
    </row>
    <row r="109">
      <c r="A109" s="28" t="n">
        <v>1265335</v>
      </c>
      <c r="B109" s="2" t="inlineStr">
        <is>
          <t>GAZPROM NEFT PJSC COMMON STOCK RUB</t>
        </is>
      </c>
      <c r="C109" s="18" t="n">
        <v>47444.2</v>
      </c>
      <c r="D109" s="19">
        <f>C109/$C$124</f>
        <v/>
      </c>
      <c r="E109" s="38" t="inlineStr">
        <is>
          <t>X84D1F6</t>
        </is>
      </c>
    </row>
    <row r="110">
      <c r="A110" s="28" t="n">
        <v>730066</v>
      </c>
      <c r="B110" s="2" t="inlineStr">
        <is>
          <t>TATNEFT PJSC COMMON STOCK RUB</t>
        </is>
      </c>
      <c r="C110" s="18" t="n">
        <v>25658.62</v>
      </c>
      <c r="D110" s="19">
        <f>C110/$C$124</f>
        <v/>
      </c>
      <c r="E110" s="38" t="inlineStr">
        <is>
          <t>X84C973</t>
        </is>
      </c>
    </row>
    <row r="111">
      <c r="A111" s="28" t="n">
        <v>571359</v>
      </c>
      <c r="B111" s="2" t="inlineStr">
        <is>
          <t>TATNEFT PJSC PREFERENCE RUB 1</t>
        </is>
      </c>
      <c r="C111" s="18" t="n">
        <v>17782.93</v>
      </c>
      <c r="D111" s="19">
        <f>C111/$C$124</f>
        <v/>
      </c>
      <c r="E111" s="38" t="inlineStr">
        <is>
          <t>X8C6150</t>
        </is>
      </c>
    </row>
    <row r="112">
      <c r="A112" s="28" t="n"/>
      <c r="B112" s="27" t="inlineStr">
        <is>
          <t>Subtotal</t>
        </is>
      </c>
      <c r="C112" s="29">
        <f>+C111+C110</f>
        <v/>
      </c>
      <c r="D112" s="31">
        <f>C112/$C$127</f>
        <v/>
      </c>
      <c r="E112" s="38" t="n"/>
    </row>
    <row r="113">
      <c r="A113" s="46" t="n">
        <v>6156103</v>
      </c>
      <c r="B113" s="45" t="inlineStr">
        <is>
          <t>ROSTELECOM PJSC COMMON STOCK RUB</t>
        </is>
      </c>
      <c r="C113" s="47" t="n">
        <v>40925.45</v>
      </c>
      <c r="D113" s="19">
        <f>C113/$C$124</f>
        <v/>
      </c>
      <c r="E113" s="38" t="inlineStr">
        <is>
          <t>X84C978</t>
        </is>
      </c>
    </row>
    <row r="114">
      <c r="A114" s="46" t="n">
        <v>4246654</v>
      </c>
      <c r="B114" s="45" t="inlineStr">
        <is>
          <t>VTB BANK PJSC COMMON STOCK RUB 0.01</t>
        </is>
      </c>
      <c r="C114" s="47" t="n">
        <v>39809.81</v>
      </c>
      <c r="D114" s="19">
        <f>C114/$C$124</f>
        <v/>
      </c>
      <c r="E114" s="38" t="inlineStr">
        <is>
          <t>X8C6392</t>
        </is>
      </c>
    </row>
    <row r="115">
      <c r="A115" s="46" t="n">
        <v>44011.54</v>
      </c>
      <c r="B115" s="45" t="inlineStr">
        <is>
          <t>JPM USD LIQUIDITY LVNAV X (DIST.)</t>
        </is>
      </c>
      <c r="C115" s="47" t="n">
        <v>34097.65</v>
      </c>
      <c r="D115" s="19">
        <f>C115/$C$124</f>
        <v/>
      </c>
      <c r="E115" s="38" t="inlineStr">
        <is>
          <t>7253766</t>
        </is>
      </c>
    </row>
    <row r="116">
      <c r="A116" s="46" t="n">
        <v>29773</v>
      </c>
      <c r="B116" s="45" t="inlineStr">
        <is>
          <t>POLYUS PJSC COMMON STOCK RUB</t>
        </is>
      </c>
      <c r="C116" s="47" t="n">
        <v>30276.23</v>
      </c>
      <c r="D116" s="19">
        <f>C116/$C$124</f>
        <v/>
      </c>
      <c r="E116" s="38" t="inlineStr">
        <is>
          <t>X84D1F8</t>
        </is>
      </c>
    </row>
    <row r="117">
      <c r="A117" s="46" t="n">
        <v>432517</v>
      </c>
      <c r="B117" s="45" t="inlineStr">
        <is>
          <t>MD MEDICAL GROUP INVESTMENTS PLC GDR USD</t>
        </is>
      </c>
      <c r="C117" s="47" t="n">
        <v>19100.11</v>
      </c>
      <c r="D117" s="19">
        <f>C117/$C$124</f>
        <v/>
      </c>
      <c r="E117" s="38" t="inlineStr">
        <is>
          <t>X8C6397</t>
        </is>
      </c>
    </row>
    <row r="118">
      <c r="A118" s="46" t="n">
        <v>12313057</v>
      </c>
      <c r="B118" s="45" t="inlineStr">
        <is>
          <t>SISTEMA PJSFC COMMON STOCK RUB 0.09</t>
        </is>
      </c>
      <c r="C118" s="47" t="n">
        <v>14356.03</v>
      </c>
      <c r="D118" s="19">
        <f>C118/$C$124</f>
        <v/>
      </c>
      <c r="E118" s="38" t="inlineStr">
        <is>
          <t>X84D1F7</t>
        </is>
      </c>
    </row>
    <row r="119">
      <c r="A119" s="46" t="n">
        <v>577525</v>
      </c>
      <c r="B119" s="45" t="inlineStr">
        <is>
          <t>FIX PRICE GROUP LTD GDR</t>
        </is>
      </c>
      <c r="C119" s="47" t="n">
        <v>4205.88</v>
      </c>
      <c r="D119" s="19">
        <f>C119/$C$124</f>
        <v/>
      </c>
      <c r="E119" s="38" t="inlineStr">
        <is>
          <t>X84CF24</t>
        </is>
      </c>
    </row>
    <row r="120">
      <c r="A120" s="46" t="n">
        <v>75226</v>
      </c>
      <c r="B120" s="45" t="inlineStr">
        <is>
          <t>TCS GROUP HOLDING PLC GDR</t>
        </is>
      </c>
      <c r="C120" s="47" t="n">
        <v>1860.91</v>
      </c>
      <c r="D120" s="19">
        <f>C120/$C$124</f>
        <v/>
      </c>
      <c r="E120" s="38" t="inlineStr">
        <is>
          <t>X8C4FD3</t>
        </is>
      </c>
    </row>
    <row r="121">
      <c r="A121" s="46" t="n">
        <v>275182</v>
      </c>
      <c r="B121" s="45" t="inlineStr">
        <is>
          <t>X 5 RETAIL GROUP NV-REGS GDR</t>
        </is>
      </c>
      <c r="C121" s="47" t="n">
        <v>1132.92</v>
      </c>
      <c r="D121" s="19">
        <f>C121/$C$124</f>
        <v/>
      </c>
      <c r="E121" s="38" t="inlineStr">
        <is>
          <t>X8C4FD9</t>
        </is>
      </c>
    </row>
    <row r="122">
      <c r="A122" s="46" t="n">
        <v>552780</v>
      </c>
      <c r="B122" s="45" t="inlineStr">
        <is>
          <t>SEVERSTAL PAO GDR USD</t>
        </is>
      </c>
      <c r="C122" s="47" t="n">
        <v>257.39</v>
      </c>
      <c r="D122" s="19">
        <f>C122/$C$124</f>
        <v/>
      </c>
      <c r="E122" s="38" t="inlineStr">
        <is>
          <t>X84C975</t>
        </is>
      </c>
    </row>
    <row r="123">
      <c r="A123" s="28" t="n"/>
      <c r="B123" s="2" t="n"/>
      <c r="C123" s="18" t="n"/>
      <c r="D123" s="19" t="n"/>
      <c r="E123" s="38" t="n"/>
    </row>
    <row r="124">
      <c r="A124" s="28" t="n"/>
      <c r="B124" s="21" t="inlineStr">
        <is>
          <t>Total portfolio</t>
        </is>
      </c>
      <c r="C124" s="39">
        <f>SUM(C12:C36)+SUM(C38:C60)+SUM(C62:C69)+SUM(C71:C90)+SUM(C92:C105)+SUM(C107:C111)+SUM(C113:C122)</f>
        <v/>
      </c>
      <c r="D124" s="19">
        <f>C124/$C$127</f>
        <v/>
      </c>
      <c r="E124" s="20" t="n"/>
    </row>
    <row r="125">
      <c r="A125" s="28" t="n"/>
      <c r="B125" s="21" t="inlineStr">
        <is>
          <t>Net Current Assets</t>
        </is>
      </c>
      <c r="C125" s="39" t="n">
        <v>385355.11</v>
      </c>
      <c r="D125" s="19">
        <f>C125/$C$127</f>
        <v/>
      </c>
      <c r="E125" s="20" t="n"/>
    </row>
    <row r="126">
      <c r="A126" s="28" t="n"/>
      <c r="B126" s="21" t="n"/>
      <c r="C126" s="39" t="n"/>
      <c r="D126" s="32" t="n"/>
      <c r="E126" s="20" t="n"/>
    </row>
    <row r="127">
      <c r="A127" s="17" t="n"/>
      <c r="B127" s="21" t="inlineStr">
        <is>
          <t>Total Assets</t>
        </is>
      </c>
      <c r="C127" s="22">
        <f>C124+C125</f>
        <v/>
      </c>
      <c r="D127" s="19">
        <f>C127/$C$127</f>
        <v/>
      </c>
      <c r="E127" s="3" t="n"/>
    </row>
    <row r="128" ht="12.75" customHeight="1" s="42">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2"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134"/>
  <sheetViews>
    <sheetView topLeftCell="A108" workbookViewId="0">
      <selection activeCell="B128" sqref="B12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28th February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749188.41</v>
      </c>
      <c r="D12" s="19">
        <f>C12/$C$127</f>
        <v/>
      </c>
      <c r="E12" s="20" t="inlineStr">
        <is>
          <t>B12LZH9</t>
        </is>
      </c>
    </row>
    <row r="13">
      <c r="A13" s="41" t="n">
        <v>181376</v>
      </c>
      <c r="B13" s="2" t="inlineStr">
        <is>
          <t>EMAAR PROPERTIES PJSC COMMON STOCK AED 1</t>
        </is>
      </c>
      <c r="C13" s="18" t="n">
        <v>531442.38</v>
      </c>
      <c r="D13" s="19">
        <f>C13/$C$127</f>
        <v/>
      </c>
      <c r="E13" s="20" t="inlineStr">
        <is>
          <t>B01RM25</t>
        </is>
      </c>
    </row>
    <row r="14">
      <c r="A14" s="41" t="n">
        <v>142756</v>
      </c>
      <c r="B14" s="2" t="inlineStr">
        <is>
          <t>QATAR NATIONAL BANK QPSC COMMON STOCK QAR 1</t>
        </is>
      </c>
      <c r="C14" s="18" t="n">
        <v>516585.97</v>
      </c>
      <c r="D14" s="19">
        <f>C14/$C$127</f>
        <v/>
      </c>
      <c r="E14" s="20" t="inlineStr">
        <is>
          <t>6148197</t>
        </is>
      </c>
    </row>
    <row r="15">
      <c r="A15" s="41" t="n">
        <v>2386</v>
      </c>
      <c r="B15" s="45" t="inlineStr">
        <is>
          <t>NASPERS LTD COMMON STOCK ZAR 2</t>
        </is>
      </c>
      <c r="C15" s="33" t="n">
        <v>452361.84</v>
      </c>
      <c r="D15" s="19">
        <f>C15/$C$127</f>
        <v/>
      </c>
      <c r="E15" s="20" t="inlineStr">
        <is>
          <t>BN0VX82</t>
        </is>
      </c>
    </row>
    <row r="16">
      <c r="A16" s="41" t="n">
        <v>31177</v>
      </c>
      <c r="B16" s="2" t="inlineStr">
        <is>
          <t>GOLD FIELDS LTD COMMON STOCK ZAR 50</t>
        </is>
      </c>
      <c r="C16" s="18" t="n">
        <v>434894.34</v>
      </c>
      <c r="D16" s="19">
        <f>C16/$C$127</f>
        <v/>
      </c>
      <c r="E16" s="20" t="inlineStr">
        <is>
          <t>6280215</t>
        </is>
      </c>
    </row>
    <row r="17">
      <c r="A17" s="41" t="n">
        <v>143349</v>
      </c>
      <c r="B17" s="2" t="inlineStr">
        <is>
          <t>FIRSTRAND LTD COMMON STOCK ZAR 1</t>
        </is>
      </c>
      <c r="C17" s="18" t="n">
        <v>433438.68</v>
      </c>
      <c r="D17" s="19">
        <f>C17/$C$127</f>
        <v/>
      </c>
      <c r="E17" s="20" t="inlineStr">
        <is>
          <t>6606996</t>
        </is>
      </c>
    </row>
    <row r="18">
      <c r="A18" s="41" t="n">
        <v>8780</v>
      </c>
      <c r="B18" s="2" t="inlineStr">
        <is>
          <t>OTP BANK NYRT COMMON STOCK HUF 100</t>
        </is>
      </c>
      <c r="C18" s="33" t="n">
        <v>431278.41</v>
      </c>
      <c r="D18" s="19">
        <f>C18/$C$127</f>
        <v/>
      </c>
      <c r="E18" s="20" t="inlineStr">
        <is>
          <t>7320154</t>
        </is>
      </c>
    </row>
    <row r="19">
      <c r="A19" s="41" t="n">
        <v>29624</v>
      </c>
      <c r="B19" s="2" t="inlineStr">
        <is>
          <t>POWSZECHNA KASA OSZCZEDNOSCI BANK POLSKI SA COMMON STOCK PLN 1</t>
        </is>
      </c>
      <c r="C19" s="33" t="n">
        <v>406967.85</v>
      </c>
      <c r="D19" s="19">
        <f>C19/$C$127</f>
        <v/>
      </c>
      <c r="E19" s="20" t="inlineStr">
        <is>
          <t>B03NGS5</t>
        </is>
      </c>
    </row>
    <row r="20">
      <c r="A20" s="41" t="n">
        <v>9176</v>
      </c>
      <c r="B20" s="2" t="inlineStr">
        <is>
          <t>TBC BANK GROUP PLC COMMON STOCK GBP 1</t>
        </is>
      </c>
      <c r="C20" s="18" t="n">
        <v>394109.2</v>
      </c>
      <c r="D20" s="19">
        <f>C20/$C$127</f>
        <v/>
      </c>
      <c r="E20" s="20" t="inlineStr">
        <is>
          <t>BYT1830</t>
        </is>
      </c>
    </row>
    <row r="21">
      <c r="A21" s="41" t="n">
        <v>52717</v>
      </c>
      <c r="B21" s="2" t="inlineStr">
        <is>
          <t>NATIONAL BANK OF GREECE SA COMMON STOCK EUR 1</t>
        </is>
      </c>
      <c r="C21" s="18" t="n">
        <v>387522.18</v>
      </c>
      <c r="D21" s="19">
        <f>C21/$C$127</f>
        <v/>
      </c>
      <c r="E21" s="20" t="inlineStr">
        <is>
          <t>BG087C6</t>
        </is>
      </c>
    </row>
    <row r="22">
      <c r="A22" s="41" t="n">
        <v>40265</v>
      </c>
      <c r="B22" s="2" t="inlineStr">
        <is>
          <t>STANDARD BANK GROUP LTD COMMON STOCK ZAR 10</t>
        </is>
      </c>
      <c r="C22" s="18" t="n">
        <v>375298.29</v>
      </c>
      <c r="D22" s="19">
        <f>C22/$C$127</f>
        <v/>
      </c>
      <c r="E22" s="20" t="inlineStr">
        <is>
          <t>B030GJ7</t>
        </is>
      </c>
    </row>
    <row r="23">
      <c r="A23" s="41" t="n">
        <v>78089</v>
      </c>
      <c r="B23" s="2" t="inlineStr">
        <is>
          <t>EMIRATES NBD BANK PJSC COMMON STOCK AED 1</t>
        </is>
      </c>
      <c r="C23" s="18" t="n">
        <v>371492.13</v>
      </c>
      <c r="D23" s="19">
        <f>C23/$C$127</f>
        <v/>
      </c>
      <c r="E23" s="20" t="inlineStr">
        <is>
          <t>B28PFX8</t>
        </is>
      </c>
    </row>
    <row r="24">
      <c r="A24" s="41" t="n">
        <v>190207</v>
      </c>
      <c r="B24" s="2" t="inlineStr">
        <is>
          <t>ALDAR PROPERTIES PJSC COMMON STOCK AED 1</t>
        </is>
      </c>
      <c r="C24" s="18" t="n">
        <v>366061.1</v>
      </c>
      <c r="D24" s="19">
        <f>C24/$C$127</f>
        <v/>
      </c>
      <c r="E24" s="20" t="inlineStr">
        <is>
          <t>B0LX3Y2</t>
        </is>
      </c>
    </row>
    <row r="25">
      <c r="A25" s="41" t="n">
        <v>22007</v>
      </c>
      <c r="B25" s="2" t="inlineStr">
        <is>
          <t>HALYK SAVINGS BANK OF KAZAKHSTAN JSC GDR USD</t>
        </is>
      </c>
      <c r="C25" s="18" t="n">
        <v>351301.03</v>
      </c>
      <c r="D25" s="19">
        <f>C25/$C$127</f>
        <v/>
      </c>
      <c r="E25" s="20" t="inlineStr">
        <is>
          <t>B1KDG41</t>
        </is>
      </c>
    </row>
    <row r="26">
      <c r="A26" s="41" t="n">
        <v>15105</v>
      </c>
      <c r="B26" s="2" t="inlineStr">
        <is>
          <t>NOVA LJUBLJANSKA BANKA DD GDR EUR</t>
        </is>
      </c>
      <c r="C26" s="18" t="n">
        <v>341843.37</v>
      </c>
      <c r="D26" s="19">
        <f>C26/$C$127</f>
        <v/>
      </c>
      <c r="E26" s="20" t="inlineStr">
        <is>
          <t>BGRPD22</t>
        </is>
      </c>
    </row>
    <row r="27">
      <c r="A27" s="41" t="n">
        <v>54728</v>
      </c>
      <c r="B27" s="2" t="inlineStr">
        <is>
          <t>RIYAD BANK COMMON STOCK SAR 10</t>
        </is>
      </c>
      <c r="C27" s="18" t="n">
        <v>340152.92</v>
      </c>
      <c r="D27" s="19">
        <f>C27/$C$127</f>
        <v/>
      </c>
      <c r="E27" s="20" t="inlineStr">
        <is>
          <t>B12LZW4</t>
        </is>
      </c>
    </row>
    <row r="28">
      <c r="A28" s="41" t="n">
        <v>45346</v>
      </c>
      <c r="B28" s="2" t="inlineStr">
        <is>
          <t>THE SAUDI NATIONAL BANK</t>
        </is>
      </c>
      <c r="C28" s="18" t="n">
        <v>335616.02</v>
      </c>
      <c r="D28" s="19">
        <f>C28/$C$127</f>
        <v/>
      </c>
      <c r="E28" s="20" t="inlineStr">
        <is>
          <t>BSHYYN1</t>
        </is>
      </c>
    </row>
    <row r="29">
      <c r="A29" s="41" t="n">
        <v>6209</v>
      </c>
      <c r="B29" s="2" t="inlineStr">
        <is>
          <t>LION FINANCE GROUP PLC COMMON STOCK GBP 1</t>
        </is>
      </c>
      <c r="C29" s="18" t="n">
        <v>328456.1</v>
      </c>
      <c r="D29" s="19">
        <f>C29/$C$127</f>
        <v/>
      </c>
      <c r="E29" s="20" t="inlineStr">
        <is>
          <t>BF4HYT8</t>
        </is>
      </c>
    </row>
    <row r="30">
      <c r="A30" s="41" t="n">
        <v>88181</v>
      </c>
      <c r="B30" s="2" t="inlineStr">
        <is>
          <t>ABU DHABI ISLAMIC BANK PJSC COMMON STOCK AED 1</t>
        </is>
      </c>
      <c r="C30" s="18" t="n">
        <v>324161.19</v>
      </c>
      <c r="D30" s="19">
        <f>C30/$C$127</f>
        <v/>
      </c>
      <c r="E30" s="20" t="inlineStr">
        <is>
          <t>6001728</t>
        </is>
      </c>
    </row>
    <row r="31">
      <c r="A31" s="41" t="n">
        <v>49901</v>
      </c>
      <c r="B31" s="2" t="inlineStr">
        <is>
          <t>ALINMA BANK COMMON STOCK SAR 10</t>
        </is>
      </c>
      <c r="C31" s="18" t="n">
        <v>319662.1</v>
      </c>
      <c r="D31" s="19">
        <f>C31/$C$127</f>
        <v/>
      </c>
      <c r="E31" s="20" t="inlineStr">
        <is>
          <t>B39NWT3</t>
        </is>
      </c>
    </row>
    <row r="32">
      <c r="A32" s="41" t="n">
        <v>55416</v>
      </c>
      <c r="B32" s="2" t="inlineStr">
        <is>
          <t>SAUDI ARABIAN OIL CO COMMON STOCK SAR</t>
        </is>
      </c>
      <c r="C32" s="18" t="n">
        <v>317438.03</v>
      </c>
      <c r="D32" s="19">
        <f>C32/$C$127</f>
        <v/>
      </c>
      <c r="E32" s="20" t="inlineStr">
        <is>
          <t>BJTM270</t>
        </is>
      </c>
    </row>
    <row r="33">
      <c r="A33" s="41" t="n">
        <v>3703</v>
      </c>
      <c r="B33" s="2" t="inlineStr">
        <is>
          <t>JSC KASPI.KZ GDR-REG S</t>
        </is>
      </c>
      <c r="C33" s="18" t="n">
        <v>307968.2</v>
      </c>
      <c r="D33" s="19">
        <f>C33/$C$127</f>
        <v/>
      </c>
      <c r="E33" s="20" t="inlineStr">
        <is>
          <t>BJY21K1</t>
        </is>
      </c>
    </row>
    <row r="34">
      <c r="A34" s="41" t="n">
        <v>362649</v>
      </c>
      <c r="B34" s="2" t="inlineStr">
        <is>
          <t>LUKOIL PJSC COMMON STOCK RUB 0.025 RUB</t>
        </is>
      </c>
      <c r="C34" s="18" t="n">
        <v>165839.61</v>
      </c>
      <c r="D34" s="19">
        <f>C34/$C$127</f>
        <v/>
      </c>
      <c r="E34" s="20" t="inlineStr">
        <is>
          <t>X84C974</t>
        </is>
      </c>
    </row>
    <row r="35">
      <c r="A35" s="41" t="n">
        <v>262047</v>
      </c>
      <c r="B35" s="2" t="inlineStr">
        <is>
          <t>LUKOIL PJSC COMMON STOCK RUB</t>
        </is>
      </c>
      <c r="C35" s="18" t="n">
        <v>129778.31</v>
      </c>
      <c r="D35" s="19">
        <f>C35/$C$127</f>
        <v/>
      </c>
      <c r="E35" s="20" t="inlineStr">
        <is>
          <t>X84D1F5</t>
        </is>
      </c>
    </row>
    <row r="36">
      <c r="A36" s="28" t="n"/>
      <c r="B36" s="27" t="inlineStr">
        <is>
          <t>Subtotal</t>
        </is>
      </c>
      <c r="C36" s="29">
        <f>+C35+C34</f>
        <v/>
      </c>
      <c r="D36" s="31">
        <f>C36/$C$130</f>
        <v/>
      </c>
      <c r="E36" s="20" t="n"/>
    </row>
    <row r="37">
      <c r="A37" s="28" t="n">
        <v>183669</v>
      </c>
      <c r="B37" s="2" t="inlineStr">
        <is>
          <t>ALPHA SERVICES AND HOLDINGS SA COMMON STOCK EUR 0.29</t>
        </is>
      </c>
      <c r="C37" s="18" t="n">
        <v>295212.38</v>
      </c>
      <c r="D37" s="19">
        <f>C37/$C$127</f>
        <v/>
      </c>
      <c r="E37" s="20" t="inlineStr">
        <is>
          <t>BZ1MXR7</t>
        </is>
      </c>
    </row>
    <row r="38">
      <c r="A38" s="28" t="n">
        <v>43441</v>
      </c>
      <c r="B38" s="2" t="inlineStr">
        <is>
          <t>TURK HAVA YOLLARI AO COMMON STOCK TRY 1</t>
        </is>
      </c>
      <c r="C38" s="18" t="n">
        <v>291182.27</v>
      </c>
      <c r="D38" s="19">
        <f>C38/$C$127</f>
        <v/>
      </c>
      <c r="E38" s="20" t="inlineStr">
        <is>
          <t>B03MYK0</t>
        </is>
      </c>
    </row>
    <row r="39">
      <c r="A39" s="28" t="n">
        <v>35367</v>
      </c>
      <c r="B39" s="2" t="inlineStr">
        <is>
          <t>ABSA GROUP LTD</t>
        </is>
      </c>
      <c r="C39" s="18" t="n">
        <v>284214.67</v>
      </c>
      <c r="D39" s="19">
        <f>C39/$C$127</f>
        <v/>
      </c>
      <c r="E39" s="20" t="inlineStr">
        <is>
          <t>BFX05H3</t>
        </is>
      </c>
    </row>
    <row r="40">
      <c r="A40" s="28" t="n">
        <v>1247</v>
      </c>
      <c r="B40" s="2" t="inlineStr">
        <is>
          <t>ELM CO COMMON STOCK SAR 10</t>
        </is>
      </c>
      <c r="C40" s="18" t="n">
        <v>281025.82</v>
      </c>
      <c r="D40" s="19">
        <f>C40/$C$127</f>
        <v/>
      </c>
      <c r="E40" s="20" t="inlineStr">
        <is>
          <t>BNYDSH8</t>
        </is>
      </c>
    </row>
    <row r="41">
      <c r="A41" s="28" t="n">
        <v>487</v>
      </c>
      <c r="B41" s="2" t="inlineStr">
        <is>
          <t>BENEFIT SYSTEMS SA COMMON STOCK PLN 1</t>
        </is>
      </c>
      <c r="C41" s="18" t="n">
        <v>277390.73</v>
      </c>
      <c r="D41" s="19">
        <f>C41/$C$127</f>
        <v/>
      </c>
      <c r="E41" s="20" t="inlineStr">
        <is>
          <t>B4XY9X2</t>
        </is>
      </c>
    </row>
    <row r="42">
      <c r="A42" s="28" t="n">
        <v>9790</v>
      </c>
      <c r="B42" s="2" t="inlineStr">
        <is>
          <t>NAC KAZATOMPROM JSC GDR USD</t>
        </is>
      </c>
      <c r="C42" s="18" t="n">
        <v>275238.06</v>
      </c>
      <c r="D42" s="19">
        <f>C42/$C$127</f>
        <v/>
      </c>
      <c r="E42" s="20" t="inlineStr">
        <is>
          <t>BGXQL36</t>
        </is>
      </c>
    </row>
    <row r="43">
      <c r="A43" s="28" t="n">
        <v>9341</v>
      </c>
      <c r="B43" s="2" t="inlineStr">
        <is>
          <t>METLEN ENERGY &amp; METALS SA COMMON STOCK EUR 0.97</t>
        </is>
      </c>
      <c r="C43" s="18" t="n">
        <v>274045.2</v>
      </c>
      <c r="D43" s="19">
        <f>C43/$C$127</f>
        <v/>
      </c>
      <c r="E43" s="20" t="inlineStr">
        <is>
          <t>5898664</t>
        </is>
      </c>
    </row>
    <row r="44">
      <c r="A44" s="28" t="n">
        <v>127190</v>
      </c>
      <c r="B44" s="2" t="inlineStr">
        <is>
          <t>EUROBANK ERGASIAS SERVICES AND HOLDINGS SA COMMON STOCK EUR 0.22</t>
        </is>
      </c>
      <c r="C44" s="18" t="n">
        <v>262947.89</v>
      </c>
      <c r="D44" s="19">
        <f>C44/$C$127</f>
        <v/>
      </c>
      <c r="E44" s="20" t="inlineStr">
        <is>
          <t>BYZ43T4</t>
        </is>
      </c>
    </row>
    <row r="45">
      <c r="A45" s="28" t="n">
        <v>24898</v>
      </c>
      <c r="B45" s="2" t="inlineStr">
        <is>
          <t>SARANTIS SA EUR1.53</t>
        </is>
      </c>
      <c r="C45" s="18" t="n">
        <v>260347.87</v>
      </c>
      <c r="D45" s="19">
        <f>C45/$C$127</f>
        <v/>
      </c>
      <c r="E45" s="20" t="inlineStr">
        <is>
          <t>7124958</t>
        </is>
      </c>
    </row>
    <row r="46">
      <c r="A46" s="28" t="n">
        <v>71</v>
      </c>
      <c r="B46" s="2" t="inlineStr">
        <is>
          <t>LPP SA COMMON STOCK PLN 2</t>
        </is>
      </c>
      <c r="C46" s="18" t="n">
        <v>257749.29</v>
      </c>
      <c r="D46" s="19">
        <f>C46/$C$127</f>
        <v/>
      </c>
      <c r="E46" s="20" t="inlineStr">
        <is>
          <t>7127979</t>
        </is>
      </c>
    </row>
    <row r="47">
      <c r="A47" s="28" t="n">
        <v>458472</v>
      </c>
      <c r="B47" s="2" t="inlineStr">
        <is>
          <t>DUBAI ELECTRICITY &amp; WATER AU</t>
        </is>
      </c>
      <c r="C47" s="18" t="n">
        <v>256773.18</v>
      </c>
      <c r="D47" s="19">
        <f>C47/$C$127</f>
        <v/>
      </c>
      <c r="E47" s="20" t="inlineStr">
        <is>
          <t>BJLTVJ4</t>
        </is>
      </c>
    </row>
    <row r="48">
      <c r="A48" s="28" t="n">
        <v>56454</v>
      </c>
      <c r="B48" s="2" t="inlineStr">
        <is>
          <t>MONETA MONEY BANK AS COMMON STOCK CZK 20</t>
        </is>
      </c>
      <c r="C48" s="18" t="n">
        <v>255482.84</v>
      </c>
      <c r="D48" s="19">
        <f>C48/$C$127</f>
        <v/>
      </c>
      <c r="E48" s="20" t="inlineStr">
        <is>
          <t>BD3CQ16</t>
        </is>
      </c>
    </row>
    <row r="49">
      <c r="A49" s="28" t="n">
        <v>74864</v>
      </c>
      <c r="B49" s="2" t="inlineStr">
        <is>
          <t>MAGYAR TELEKOM TELECOMMUNICATIONS PLC COMMON STOCK HUF 100</t>
        </is>
      </c>
      <c r="C49" s="18" t="n">
        <v>247012.29</v>
      </c>
      <c r="D49" s="19">
        <f>C49/$C$127</f>
        <v/>
      </c>
      <c r="E49" s="20" t="inlineStr">
        <is>
          <t>4577469</t>
        </is>
      </c>
    </row>
    <row r="50">
      <c r="A50" s="28" t="n">
        <v>23041</v>
      </c>
      <c r="B50" s="2" t="inlineStr">
        <is>
          <t>POWSZECHNY ZAKLAD UBEZPIECZEN SA COMMON STOCK PLN 0.1</t>
        </is>
      </c>
      <c r="C50" s="18" t="n">
        <v>246995.8</v>
      </c>
      <c r="D50" s="19">
        <f>C50/$C$127</f>
        <v/>
      </c>
      <c r="E50" s="20" t="inlineStr">
        <is>
          <t>B63DG21</t>
        </is>
      </c>
    </row>
    <row r="51">
      <c r="A51" s="28" t="n">
        <v>55815</v>
      </c>
      <c r="B51" s="2" t="inlineStr">
        <is>
          <t>ARABIAN CENTRES CO COMMON STOCK SAR 10</t>
        </is>
      </c>
      <c r="C51" s="18" t="n">
        <v>246795.9</v>
      </c>
      <c r="D51" s="19">
        <f>C51/$C$127</f>
        <v/>
      </c>
      <c r="E51" s="20" t="inlineStr">
        <is>
          <t>BKBF694</t>
        </is>
      </c>
    </row>
    <row r="52">
      <c r="A52" s="28" t="n">
        <v>11178</v>
      </c>
      <c r="B52" s="2" t="inlineStr">
        <is>
          <t>RICHTER GEDEON NYRT COMMON STOCK HUF 100</t>
        </is>
      </c>
      <c r="C52" s="18" t="n">
        <v>246723.53</v>
      </c>
      <c r="D52" s="19">
        <f>C52/$C$127</f>
        <v/>
      </c>
      <c r="E52" s="20" t="inlineStr">
        <is>
          <t>BC9ZH86</t>
        </is>
      </c>
    </row>
    <row r="53">
      <c r="A53" s="28" t="n">
        <v>7292</v>
      </c>
      <c r="B53" s="2" t="inlineStr">
        <is>
          <t>BANK POLSKA KASA OPIEKI SA COMMON STOCK PLN 1</t>
        </is>
      </c>
      <c r="C53" s="18" t="n">
        <v>246452.9</v>
      </c>
      <c r="D53" s="19">
        <f>C53/$C$127</f>
        <v/>
      </c>
      <c r="E53" s="20" t="inlineStr">
        <is>
          <t>5473113</t>
        </is>
      </c>
    </row>
    <row r="54">
      <c r="A54" s="28" t="n">
        <v>112308</v>
      </c>
      <c r="B54" s="2" t="inlineStr">
        <is>
          <t>TURKCELL ILETISIM HIZMET AS</t>
        </is>
      </c>
      <c r="C54" s="18" t="n">
        <v>245924.72</v>
      </c>
      <c r="D54" s="19">
        <f>C54/$C$127</f>
        <v/>
      </c>
      <c r="E54" s="20" t="inlineStr">
        <is>
          <t>B03MYN3</t>
        </is>
      </c>
    </row>
    <row r="55">
      <c r="A55" s="28" t="n">
        <v>23094</v>
      </c>
      <c r="B55" s="2" t="inlineStr">
        <is>
          <t>BIDVEST GROUP LTD COMMON STOCK ZAR 5</t>
        </is>
      </c>
      <c r="C55" s="18" t="n">
        <v>242419.44</v>
      </c>
      <c r="D55" s="19">
        <f>C55/$C$127</f>
        <v/>
      </c>
      <c r="E55" s="20" t="inlineStr">
        <is>
          <t>6100089</t>
        </is>
      </c>
    </row>
    <row r="56">
      <c r="A56" s="28" t="n">
        <v>144384</v>
      </c>
      <c r="B56" s="2" t="inlineStr">
        <is>
          <t>DUBAI ISLAMIC BANK PJSC COMMON STOCK AED 1</t>
        </is>
      </c>
      <c r="C56" s="18" t="n">
        <v>241031.3</v>
      </c>
      <c r="D56" s="19">
        <f>C56/$C$127</f>
        <v/>
      </c>
      <c r="E56" s="20" t="inlineStr">
        <is>
          <t>6283452</t>
        </is>
      </c>
    </row>
    <row r="57">
      <c r="A57" s="28" t="n">
        <v>63663</v>
      </c>
      <c r="B57" s="2" t="inlineStr">
        <is>
          <t>PIRAEUS FINANCIAL HOLDINGS SA COMMON STOCK EUR 0.93</t>
        </is>
      </c>
      <c r="C57" s="18" t="n">
        <v>238462.6</v>
      </c>
      <c r="D57" s="19">
        <f>C57/$C$127</f>
        <v/>
      </c>
      <c r="E57" s="20" t="inlineStr">
        <is>
          <t>BNC0DB0</t>
        </is>
      </c>
    </row>
    <row r="58">
      <c r="A58" s="28" t="n">
        <v>19991</v>
      </c>
      <c r="B58" s="2" t="inlineStr">
        <is>
          <t>SHOPRITE HOLDINGS LTD COMMON STOCK ZAR 113.4</t>
        </is>
      </c>
      <c r="C58" s="18" t="n">
        <v>235090.55</v>
      </c>
      <c r="D58" s="19">
        <f>C58/$C$127</f>
        <v/>
      </c>
      <c r="E58" s="20" t="inlineStr">
        <is>
          <t>6801575</t>
        </is>
      </c>
    </row>
    <row r="59">
      <c r="A59" s="28" t="n">
        <v>85774</v>
      </c>
      <c r="B59" s="2" t="inlineStr">
        <is>
          <t>EMAAR DEVELOPMENT PJSC COMMON STOCK AED 1</t>
        </is>
      </c>
      <c r="C59" s="18" t="n">
        <v>234629.85</v>
      </c>
      <c r="D59" s="19">
        <f>C59/$C$127</f>
        <v/>
      </c>
      <c r="E59" s="20" t="inlineStr">
        <is>
          <t>BDG1977</t>
        </is>
      </c>
    </row>
    <row r="60">
      <c r="A60" s="28" t="n">
        <v>156965</v>
      </c>
      <c r="B60" s="2" t="inlineStr">
        <is>
          <t>AKBANK TAS COMMON STOCK TRY 1</t>
        </is>
      </c>
      <c r="C60" s="18" t="n">
        <v>229539.35</v>
      </c>
      <c r="D60" s="19">
        <f>C60/$C$127</f>
        <v/>
      </c>
      <c r="E60" s="20" t="inlineStr">
        <is>
          <t>B03MN70</t>
        </is>
      </c>
    </row>
    <row r="61">
      <c r="A61" s="28" t="n">
        <v>10435</v>
      </c>
      <c r="B61" s="2" t="inlineStr">
        <is>
          <t>JUMBO SA COMMON STOCK EUR 0.88</t>
        </is>
      </c>
      <c r="C61" s="18" t="n">
        <v>227537.12</v>
      </c>
      <c r="D61" s="19">
        <f>C61/$C$127</f>
        <v/>
      </c>
      <c r="E61" s="20" t="inlineStr">
        <is>
          <t>7243530</t>
        </is>
      </c>
    </row>
    <row r="62">
      <c r="A62" s="28" t="n">
        <v>8860909</v>
      </c>
      <c r="B62" s="2" t="inlineStr">
        <is>
          <t>GAZPROM PJSC COMMON STOCK RUB</t>
        </is>
      </c>
      <c r="C62" s="18" t="n">
        <v>202663.34</v>
      </c>
      <c r="D62" s="19">
        <f>C62/$C$127</f>
        <v/>
      </c>
      <c r="E62" s="20" t="inlineStr">
        <is>
          <t>X8C529A</t>
        </is>
      </c>
    </row>
    <row r="63">
      <c r="A63" s="28" t="n">
        <v>5365084</v>
      </c>
      <c r="B63" s="2" t="inlineStr">
        <is>
          <t>GAZPROM PJSC ADR</t>
        </is>
      </c>
      <c r="C63" s="18" t="n">
        <v>24772.74</v>
      </c>
      <c r="D63" s="19">
        <f>C63/$C$127</f>
        <v/>
      </c>
      <c r="E63" s="20" t="inlineStr">
        <is>
          <t>X84C976</t>
        </is>
      </c>
    </row>
    <row r="64">
      <c r="A64" s="28" t="n"/>
      <c r="B64" s="27" t="inlineStr">
        <is>
          <t>Subtotal</t>
        </is>
      </c>
      <c r="C64" s="29">
        <f>+C63+C62</f>
        <v/>
      </c>
      <c r="D64" s="31">
        <f>C64/$C$130</f>
        <v/>
      </c>
      <c r="E64" s="38" t="n"/>
    </row>
    <row r="65">
      <c r="A65" s="41" t="n">
        <v>20472</v>
      </c>
      <c r="B65" s="2" t="inlineStr">
        <is>
          <t>SAUDI GROUND SERVICES CO COMMON STOCK SAR 10</t>
        </is>
      </c>
      <c r="C65" s="18" t="n">
        <v>224567.32</v>
      </c>
      <c r="D65" s="19">
        <f>C65/$C$127</f>
        <v/>
      </c>
      <c r="E65" s="38" t="inlineStr">
        <is>
          <t>BYYTJ69</t>
        </is>
      </c>
    </row>
    <row r="66">
      <c r="A66" s="41" t="n">
        <v>19988</v>
      </c>
      <c r="B66" s="2" t="inlineStr">
        <is>
          <t>BIM BIRLESIK MAGAZALAR AS COMMON STOCK TRY 1</t>
        </is>
      </c>
      <c r="C66" s="18" t="n">
        <v>219928.69</v>
      </c>
      <c r="D66" s="19">
        <f>C66/$C$127</f>
        <v/>
      </c>
      <c r="E66" s="38" t="inlineStr">
        <is>
          <t>B0D0006</t>
        </is>
      </c>
    </row>
    <row r="67">
      <c r="A67" s="41" t="n">
        <v>14455036</v>
      </c>
      <c r="B67" s="2" t="inlineStr">
        <is>
          <t>SBERBANK OF RUSSIA PJSC PREFERENCE RUB 3</t>
        </is>
      </c>
      <c r="C67" s="18" t="n">
        <v>182378.55</v>
      </c>
      <c r="D67" s="19">
        <f>C67/$C$127</f>
        <v/>
      </c>
      <c r="E67" s="38" t="inlineStr">
        <is>
          <t>X8C6155</t>
        </is>
      </c>
    </row>
    <row r="68">
      <c r="A68" s="41" t="n">
        <v>2355925</v>
      </c>
      <c r="B68" s="2" t="inlineStr">
        <is>
          <t>SBERBANK OF RUSSIA PJSC</t>
        </is>
      </c>
      <c r="C68" s="18" t="n">
        <v>29509.77</v>
      </c>
      <c r="D68" s="19">
        <f>C68/$C$127</f>
        <v/>
      </c>
      <c r="E68" s="38" t="inlineStr">
        <is>
          <t>X8C6398</t>
        </is>
      </c>
    </row>
    <row r="69">
      <c r="A69" s="41" t="n"/>
      <c r="B69" s="27" t="inlineStr">
        <is>
          <t>Subtotal</t>
        </is>
      </c>
      <c r="C69" s="29">
        <f>+C68+C67</f>
        <v/>
      </c>
      <c r="D69" s="31">
        <f>C69/$C$130</f>
        <v/>
      </c>
      <c r="E69" s="38" t="n"/>
    </row>
    <row r="70">
      <c r="A70" s="28" t="n">
        <v>27398</v>
      </c>
      <c r="B70" s="2" t="inlineStr">
        <is>
          <t>SAUDI AWWAL BANK COMMON STOCK SAR 10</t>
        </is>
      </c>
      <c r="C70" s="18" t="n">
        <v>205099.59</v>
      </c>
      <c r="D70" s="19">
        <f>C70/$C$127</f>
        <v/>
      </c>
      <c r="E70" s="38" t="inlineStr">
        <is>
          <t>B12LSY7</t>
        </is>
      </c>
    </row>
    <row r="71">
      <c r="A71" s="28" t="n">
        <v>3863</v>
      </c>
      <c r="B71" s="2" t="inlineStr">
        <is>
          <t>ERSTE GROUP BANK AG COMMON STOCK EUR 0</t>
        </is>
      </c>
      <c r="C71" s="18" t="n">
        <v>204521.33</v>
      </c>
      <c r="D71" s="19">
        <f>C71/$C$127</f>
        <v/>
      </c>
      <c r="E71" s="38" t="inlineStr">
        <is>
          <t>5289837</t>
        </is>
      </c>
    </row>
    <row r="72">
      <c r="A72" s="28" t="n">
        <v>169475</v>
      </c>
      <c r="B72" s="2" t="inlineStr">
        <is>
          <t>ADNOC DRILLING CO PJSC COMMON STOCK AED</t>
        </is>
      </c>
      <c r="C72" s="18" t="n">
        <v>198995.17</v>
      </c>
      <c r="D72" s="19">
        <f>C72/$C$127</f>
        <v/>
      </c>
      <c r="E72" s="38" t="inlineStr">
        <is>
          <t>BN12D39</t>
        </is>
      </c>
    </row>
    <row r="73">
      <c r="A73" s="28" t="n">
        <v>1238</v>
      </c>
      <c r="B73" s="2" t="inlineStr">
        <is>
          <t>GRUPA KETY SA COMMON STOCK PLN 2.5</t>
        </is>
      </c>
      <c r="C73" s="18" t="n">
        <v>197393.74</v>
      </c>
      <c r="D73" s="19">
        <f>C73/$C$127</f>
        <v/>
      </c>
      <c r="E73" s="38" t="inlineStr">
        <is>
          <t>5216385</t>
        </is>
      </c>
    </row>
    <row r="74">
      <c r="A74" s="28" t="n">
        <v>25547</v>
      </c>
      <c r="B74" s="2" t="inlineStr">
        <is>
          <t>HARMONY GOLD MINING CO LTD COMMON STOCK ZAR 50</t>
        </is>
      </c>
      <c r="C74" s="18" t="n">
        <v>196887.96</v>
      </c>
      <c r="D74" s="19">
        <f>C74/$C$127</f>
        <v/>
      </c>
      <c r="E74" s="38" t="inlineStr">
        <is>
          <t>6410562</t>
        </is>
      </c>
    </row>
    <row r="75">
      <c r="A75" s="28" t="n">
        <v>32435</v>
      </c>
      <c r="B75" s="2" t="inlineStr">
        <is>
          <t>MOL HUNGARIAN OIL &amp; GAS PLC COMMON STOCK HUF 125</t>
        </is>
      </c>
      <c r="C75" s="18" t="n">
        <v>194214.06</v>
      </c>
      <c r="D75" s="19">
        <f>C75/$C$127</f>
        <v/>
      </c>
      <c r="E75" s="38" t="inlineStr">
        <is>
          <t>BD5ZXH8</t>
        </is>
      </c>
    </row>
    <row r="76">
      <c r="A76" s="28" t="n">
        <v>5652</v>
      </c>
      <c r="B76" s="2" t="inlineStr">
        <is>
          <t>KOMERCNI BANKA AS COMMON STOCK CZK 100</t>
        </is>
      </c>
      <c r="C76" s="18" t="n">
        <v>193976.96</v>
      </c>
      <c r="D76" s="19">
        <f>C76/$C$127</f>
        <v/>
      </c>
      <c r="E76" s="38" t="inlineStr">
        <is>
          <t>4519449</t>
        </is>
      </c>
    </row>
    <row r="77">
      <c r="A77" s="28" t="n">
        <v>6309</v>
      </c>
      <c r="B77" s="2" t="inlineStr">
        <is>
          <t>RIYADH CABLES GROUP CO COMMON STOCK SAR 10</t>
        </is>
      </c>
      <c r="C77" s="18" t="n">
        <v>192121.48</v>
      </c>
      <c r="D77" s="19">
        <f>C77/$C$127</f>
        <v/>
      </c>
      <c r="E77" s="38" t="inlineStr">
        <is>
          <t>BNBPXW7</t>
        </is>
      </c>
    </row>
    <row r="78">
      <c r="A78" s="41" t="n">
        <v>196322</v>
      </c>
      <c r="B78" s="2" t="inlineStr">
        <is>
          <t>QATAR GAS TRANSPORT CO LTD COMMON STOCK QAR 1</t>
        </is>
      </c>
      <c r="C78" s="33" t="n">
        <v>188975.17</v>
      </c>
      <c r="D78" s="19">
        <f>C78/$C$127</f>
        <v/>
      </c>
      <c r="E78" s="38" t="inlineStr">
        <is>
          <t>B0MLBC9</t>
        </is>
      </c>
    </row>
    <row r="79">
      <c r="A79" s="28" t="n">
        <v>54321</v>
      </c>
      <c r="B79" s="2" t="inlineStr">
        <is>
          <t>SASOL LTD COMMON STOCK ZAR 0</t>
        </is>
      </c>
      <c r="C79" s="18" t="n">
        <v>188173.54</v>
      </c>
      <c r="D79" s="19">
        <f>C79/$C$127</f>
        <v/>
      </c>
      <c r="E79" s="38" t="inlineStr">
        <is>
          <t>6777450</t>
        </is>
      </c>
    </row>
    <row r="80">
      <c r="A80" s="28" t="n">
        <v>6082</v>
      </c>
      <c r="B80" s="2" t="inlineStr">
        <is>
          <t>CO FOR COOPERATIVE INSURANCE/THE COMMON STOCK SAR 10</t>
        </is>
      </c>
      <c r="C80" s="18" t="n">
        <v>185981.66</v>
      </c>
      <c r="D80" s="19">
        <f>C80/$C$127</f>
        <v/>
      </c>
      <c r="E80" s="38" t="inlineStr">
        <is>
          <t>B128FN6</t>
        </is>
      </c>
    </row>
    <row r="81">
      <c r="A81" s="28" t="n">
        <v>182204</v>
      </c>
      <c r="B81" s="2" t="inlineStr">
        <is>
          <t>PARKIN CO PJSC COMMON STOCK AED 0.02</t>
        </is>
      </c>
      <c r="C81" s="18" t="n">
        <v>184785.47</v>
      </c>
      <c r="D81" s="19">
        <f>C81/$C$127</f>
        <v/>
      </c>
      <c r="E81" s="38" t="inlineStr">
        <is>
          <t>BRRGQF6</t>
        </is>
      </c>
    </row>
    <row r="82">
      <c r="A82" s="28" t="n">
        <v>8660</v>
      </c>
      <c r="B82" s="2" t="inlineStr">
        <is>
          <t>RAIFFEISEN BANK INTERNATIONAL AG COMMON STOCK EUR 0</t>
        </is>
      </c>
      <c r="C82" s="18" t="n">
        <v>183682.92</v>
      </c>
      <c r="D82" s="19">
        <f>C82/$C$127</f>
        <v/>
      </c>
      <c r="E82" s="38" t="inlineStr">
        <is>
          <t>B0704T9</t>
        </is>
      </c>
    </row>
    <row r="83">
      <c r="A83" s="28" t="n">
        <v>9456</v>
      </c>
      <c r="B83" s="2" t="inlineStr">
        <is>
          <t>FORD OTOMOTIV SANAYI AS COMMON STOCK TRY 1</t>
        </is>
      </c>
      <c r="C83" s="18" t="n">
        <v>181358.57</v>
      </c>
      <c r="D83" s="19">
        <f>C83/$C$127</f>
        <v/>
      </c>
      <c r="E83" s="38" t="inlineStr">
        <is>
          <t>B03MSR5</t>
        </is>
      </c>
    </row>
    <row r="84">
      <c r="A84" s="28" t="n">
        <v>2568</v>
      </c>
      <c r="B84" s="2" t="inlineStr">
        <is>
          <t>SAUDIA DAIRY &amp; FOODSTUFF CO COMMON STOCK SAR 10</t>
        </is>
      </c>
      <c r="C84" s="18" t="n">
        <v>168582.79</v>
      </c>
      <c r="D84" s="19">
        <f>C84/$C$127</f>
        <v/>
      </c>
      <c r="E84" s="38" t="inlineStr">
        <is>
          <t>B133P41</t>
        </is>
      </c>
    </row>
    <row r="85">
      <c r="A85" s="28" t="n">
        <v>9725</v>
      </c>
      <c r="B85" s="2" t="inlineStr">
        <is>
          <t>UNITED INTERNATIONAL TRANSPORTATION CO COMMON STOCK SAR 10</t>
        </is>
      </c>
      <c r="C85" s="18" t="n">
        <v>161664.92</v>
      </c>
      <c r="D85" s="19">
        <f>C85/$C$127</f>
        <v/>
      </c>
      <c r="E85" s="38" t="inlineStr">
        <is>
          <t>B2493D0</t>
        </is>
      </c>
    </row>
    <row r="86">
      <c r="A86" s="28" t="n">
        <v>7795</v>
      </c>
      <c r="B86" s="2" t="inlineStr">
        <is>
          <t>UNITED ELECTRONICS CO COMMON STOCK SAR</t>
        </is>
      </c>
      <c r="C86" s="18" t="n">
        <v>160779.84</v>
      </c>
      <c r="D86" s="19">
        <f>C86/$C$127</f>
        <v/>
      </c>
      <c r="E86" s="38" t="inlineStr">
        <is>
          <t>B4P2SD7</t>
        </is>
      </c>
    </row>
    <row r="87">
      <c r="A87" s="28" t="n">
        <v>453680</v>
      </c>
      <c r="B87" s="2" t="inlineStr">
        <is>
          <t>TURKIYE SIGORTA AS COMMON STOCK TRY 1</t>
        </is>
      </c>
      <c r="C87" s="18" t="n">
        <v>160508.94</v>
      </c>
      <c r="D87" s="19">
        <f>C87/$C$127</f>
        <v/>
      </c>
      <c r="E87" s="38" t="inlineStr">
        <is>
          <t>B03MTD8</t>
        </is>
      </c>
    </row>
    <row r="88">
      <c r="A88" s="28" t="n">
        <v>234111</v>
      </c>
      <c r="B88" s="2" t="inlineStr">
        <is>
          <t>TECOM GROUP PJSC COMMON STOCK AED 0.1</t>
        </is>
      </c>
      <c r="C88" s="18" t="n">
        <v>158960.25</v>
      </c>
      <c r="D88" s="19">
        <f>C88/$C$127</f>
        <v/>
      </c>
      <c r="E88" s="38" t="inlineStr">
        <is>
          <t>BLDC8Q1</t>
        </is>
      </c>
    </row>
    <row r="89">
      <c r="A89" s="28" t="n">
        <v>4593</v>
      </c>
      <c r="B89" s="2" t="inlineStr">
        <is>
          <t>ALKHORAYEF WATER &amp; POWER TECHNOLOGIES CO COMMON STOCK SAR 10</t>
        </is>
      </c>
      <c r="C89" s="18" t="n">
        <v>158735.15</v>
      </c>
      <c r="D89" s="19">
        <f>C89/$C$127</f>
        <v/>
      </c>
      <c r="E89" s="38" t="inlineStr">
        <is>
          <t>BN33QN1</t>
        </is>
      </c>
    </row>
    <row r="90">
      <c r="A90" s="28" t="n">
        <v>1268490</v>
      </c>
      <c r="B90" s="2" t="inlineStr">
        <is>
          <t>NOVATEK PJSC COMMON STOCK RUB 0.1</t>
        </is>
      </c>
      <c r="C90" s="18" t="n">
        <v>142839.45</v>
      </c>
      <c r="D90" s="19">
        <f>C90/$C$127</f>
        <v/>
      </c>
      <c r="E90" s="38" t="inlineStr">
        <is>
          <t>X84C972</t>
        </is>
      </c>
    </row>
    <row r="91">
      <c r="A91" s="28" t="n">
        <v>103572</v>
      </c>
      <c r="B91" s="2" t="inlineStr">
        <is>
          <t>NOVATEK PJSC COMMON STOCK RUB 0.1</t>
        </is>
      </c>
      <c r="C91" s="18" t="n">
        <v>12630.62</v>
      </c>
      <c r="D91" s="19">
        <f>C91/$C$127</f>
        <v/>
      </c>
      <c r="E91" s="38" t="inlineStr">
        <is>
          <t>X84C970</t>
        </is>
      </c>
    </row>
    <row r="92">
      <c r="A92" s="28" t="n"/>
      <c r="B92" s="27" t="inlineStr">
        <is>
          <t>Subtotal</t>
        </is>
      </c>
      <c r="C92" s="29">
        <f>+C91+C90</f>
        <v/>
      </c>
      <c r="D92" s="31">
        <f>C92/$C$130</f>
        <v/>
      </c>
      <c r="E92" s="38" t="n"/>
    </row>
    <row r="93">
      <c r="A93" s="28" t="n">
        <v>12548</v>
      </c>
      <c r="B93" s="2" t="inlineStr">
        <is>
          <t>HELLENIC TELECOMMUNICATIONS ORGANIZATION SA COMMON STOCK EUR 2.83</t>
        </is>
      </c>
      <c r="C93" s="18" t="n">
        <v>155461.06</v>
      </c>
      <c r="D93" s="19">
        <f>C93/$C$127</f>
        <v/>
      </c>
      <c r="E93" s="38" t="inlineStr">
        <is>
          <t>5051605</t>
        </is>
      </c>
    </row>
    <row r="94">
      <c r="A94" s="28" t="n">
        <v>4537</v>
      </c>
      <c r="B94" s="2" t="inlineStr">
        <is>
          <t>LEEJAM SPORTS CO JSC COMMON STOCK SAR 10</t>
        </is>
      </c>
      <c r="C94" s="18" t="n">
        <v>154686.06</v>
      </c>
      <c r="D94" s="19">
        <f>C94/$C$127</f>
        <v/>
      </c>
      <c r="E94" s="38" t="inlineStr">
        <is>
          <t>BF12ZV5</t>
        </is>
      </c>
    </row>
    <row r="95">
      <c r="A95" s="28" t="n">
        <v>1892</v>
      </c>
      <c r="B95" s="2" t="inlineStr">
        <is>
          <t>KRUK SA COMMON STOCK PLN 1</t>
        </is>
      </c>
      <c r="C95" s="18" t="n">
        <v>153920.02</v>
      </c>
      <c r="D95" s="19">
        <f>C95/$C$127</f>
        <v/>
      </c>
      <c r="E95" s="38" t="inlineStr">
        <is>
          <t>B4PTLY0</t>
        </is>
      </c>
    </row>
    <row r="96">
      <c r="A96" s="28" t="n">
        <v>7008</v>
      </c>
      <c r="B96" s="2" t="inlineStr">
        <is>
          <t>SAUDI ARAMCO BASE OIL CO COMMON STOCK SAR 10</t>
        </is>
      </c>
      <c r="C96" s="18" t="n">
        <v>153154.69</v>
      </c>
      <c r="D96" s="19">
        <f>C96/$C$127</f>
        <v/>
      </c>
      <c r="E96" s="38" t="inlineStr">
        <is>
          <t>BMDKMB5</t>
        </is>
      </c>
    </row>
    <row r="97">
      <c r="A97" s="28" t="n">
        <v>53407</v>
      </c>
      <c r="B97" s="2" t="inlineStr">
        <is>
          <t>TURKIYE GARANTI BANKASI AS COMMON STOCK TRY 1</t>
        </is>
      </c>
      <c r="C97" s="18" t="n">
        <v>149464.74</v>
      </c>
      <c r="D97" s="19">
        <f>C97/$C$127</f>
        <v/>
      </c>
      <c r="E97" s="38" t="inlineStr">
        <is>
          <t>B03MYP5</t>
        </is>
      </c>
    </row>
    <row r="98">
      <c r="A98" s="28" t="n">
        <v>133931</v>
      </c>
      <c r="B98" s="2" t="inlineStr">
        <is>
          <t>ADNOC LOGISTICS &amp; SERVICES COMMON STOCK AED 1.983</t>
        </is>
      </c>
      <c r="C98" s="18" t="n">
        <v>145096.16</v>
      </c>
      <c r="D98" s="19">
        <f>C98/$C$127</f>
        <v/>
      </c>
      <c r="E98" s="38" t="inlineStr">
        <is>
          <t>BRBN103</t>
        </is>
      </c>
    </row>
    <row r="99">
      <c r="A99" s="28" t="n">
        <v>180000</v>
      </c>
      <c r="B99" s="2" t="inlineStr">
        <is>
          <t>JPM USD LIQUIDITY LVNAV X (DIST.)</t>
        </is>
      </c>
      <c r="C99" s="18" t="n">
        <v>142953.58</v>
      </c>
      <c r="D99" s="19">
        <f>C99/$C$127</f>
        <v/>
      </c>
      <c r="E99" s="38" t="inlineStr">
        <is>
          <t>7253766</t>
        </is>
      </c>
    </row>
    <row r="100">
      <c r="A100" s="28" t="n">
        <v>39150</v>
      </c>
      <c r="B100" s="2" t="inlineStr">
        <is>
          <t>ADES HOLDING CO COMMON STOCK SAR 1</t>
        </is>
      </c>
      <c r="C100" s="18" t="n">
        <v>142433.27</v>
      </c>
      <c r="D100" s="19">
        <f>C100/$C$127</f>
        <v/>
      </c>
      <c r="E100" s="38" t="inlineStr">
        <is>
          <t>BR56KM3</t>
        </is>
      </c>
    </row>
    <row r="101">
      <c r="A101" s="28" t="n">
        <v>50663</v>
      </c>
      <c r="B101" s="2" t="inlineStr">
        <is>
          <t>TUPRAS-TURKIYE PETROL RAFINE</t>
        </is>
      </c>
      <c r="C101" s="18" t="n">
        <v>142005.72</v>
      </c>
      <c r="D101" s="19">
        <f>C101/$C$127</f>
        <v/>
      </c>
      <c r="E101" s="38" t="inlineStr">
        <is>
          <t>B03MYT9</t>
        </is>
      </c>
    </row>
    <row r="102">
      <c r="A102" s="28" t="n">
        <v>4570</v>
      </c>
      <c r="B102" s="2" t="inlineStr">
        <is>
          <t>ALDREES PETROLEUM AND TRANSPORT SERVICES CO COMMON STOCK SAR 10</t>
        </is>
      </c>
      <c r="C102" s="18" t="n">
        <v>139359.06</v>
      </c>
      <c r="D102" s="19">
        <f>C102/$C$127</f>
        <v/>
      </c>
      <c r="E102" s="38" t="inlineStr">
        <is>
          <t>B128FF8</t>
        </is>
      </c>
    </row>
    <row r="103">
      <c r="A103" s="28" t="n">
        <v>7119200</v>
      </c>
      <c r="B103" s="2" t="inlineStr">
        <is>
          <t>MMC NORILSK NICKEL PJSC COMMON STOCK RUB 1</t>
        </is>
      </c>
      <c r="C103" s="18" t="n">
        <v>136471.3</v>
      </c>
      <c r="D103" s="19">
        <f>C103/$C$127</f>
        <v/>
      </c>
      <c r="E103" s="38" t="inlineStr">
        <is>
          <t>X84C977</t>
        </is>
      </c>
    </row>
    <row r="104">
      <c r="A104" s="28" t="n">
        <v>3695</v>
      </c>
      <c r="B104" s="2" t="inlineStr">
        <is>
          <t>BUPA ARABIA FOR COOPERATIVE INSURANCE CO COMMON STOCK SAR 10</t>
        </is>
      </c>
      <c r="C104" s="18" t="n">
        <v>133177.4</v>
      </c>
      <c r="D104" s="19">
        <f>C104/$C$127</f>
        <v/>
      </c>
      <c r="E104" s="38" t="inlineStr">
        <is>
          <t>B2RLCR0</t>
        </is>
      </c>
    </row>
    <row r="105">
      <c r="A105" s="28" t="n">
        <v>27608</v>
      </c>
      <c r="B105" s="2" t="inlineStr">
        <is>
          <t>BANCA TRANSILVANIA SA COMMON STOCK RON 1</t>
        </is>
      </c>
      <c r="C105" s="18" t="n">
        <v>131028.09</v>
      </c>
      <c r="D105" s="19">
        <f>C105/$C$127</f>
        <v/>
      </c>
      <c r="E105" s="38" t="inlineStr">
        <is>
          <t>5393307</t>
        </is>
      </c>
    </row>
    <row r="106">
      <c r="A106" s="28" t="n">
        <v>30154</v>
      </c>
      <c r="B106" s="2" t="inlineStr">
        <is>
          <t>AVI LTD COMMON STOCK ZAR 5</t>
        </is>
      </c>
      <c r="C106" s="18" t="n">
        <v>119852.33</v>
      </c>
      <c r="D106" s="19">
        <f>C106/$C$127</f>
        <v/>
      </c>
      <c r="E106" s="38" t="inlineStr">
        <is>
          <t>6040958</t>
        </is>
      </c>
    </row>
    <row r="107">
      <c r="A107" s="28" t="n">
        <v>6774</v>
      </c>
      <c r="B107" s="2" t="inlineStr">
        <is>
          <t>JERONIMO MARTINS SGPS SA COMMON STOCK EUR 1</t>
        </is>
      </c>
      <c r="C107" s="18" t="n">
        <v>115592.96</v>
      </c>
      <c r="D107" s="19">
        <f>C107/$C$127</f>
        <v/>
      </c>
      <c r="E107" s="38" t="inlineStr">
        <is>
          <t>B1Y1SQ7</t>
        </is>
      </c>
    </row>
    <row r="108">
      <c r="A108" s="28" t="n">
        <v>2041744</v>
      </c>
      <c r="B108" s="2" t="inlineStr">
        <is>
          <t>ROSNEFT OIL CO PJSC COMMON STOCK RUB 0.01</t>
        </is>
      </c>
      <c r="C108" s="18" t="n">
        <v>60359.54</v>
      </c>
      <c r="D108" s="19">
        <f>C108/$C$127</f>
        <v/>
      </c>
      <c r="E108" s="38" t="inlineStr">
        <is>
          <t>X84C971</t>
        </is>
      </c>
    </row>
    <row r="109">
      <c r="A109" s="28" t="n">
        <v>1677948</v>
      </c>
      <c r="B109" s="2" t="inlineStr">
        <is>
          <t>ROSNEFT OIL CO PJSC COMMON STOCK RUB</t>
        </is>
      </c>
      <c r="C109" s="18" t="n">
        <v>45859.44</v>
      </c>
      <c r="D109" s="19">
        <f>C109/$C$127</f>
        <v/>
      </c>
      <c r="E109" s="38" t="inlineStr">
        <is>
          <t>X84D1F9</t>
        </is>
      </c>
    </row>
    <row r="110">
      <c r="A110" s="28" t="n"/>
      <c r="B110" s="27" t="inlineStr">
        <is>
          <t>Subtotal</t>
        </is>
      </c>
      <c r="C110" s="29">
        <f>+C109+C108</f>
        <v/>
      </c>
      <c r="D110" s="31">
        <f>C110/$C$130</f>
        <v/>
      </c>
      <c r="E110" s="38" t="n"/>
    </row>
    <row r="111">
      <c r="A111" s="28" t="n">
        <v>3657350</v>
      </c>
      <c r="B111" s="2" t="inlineStr">
        <is>
          <t>NOVOLIPETSK STEEL PJSC COMMON STOCK RUB</t>
        </is>
      </c>
      <c r="C111" s="18" t="n">
        <v>60850.94</v>
      </c>
      <c r="D111" s="19">
        <f>C111/$C$127</f>
        <v/>
      </c>
      <c r="E111" s="38" t="inlineStr">
        <is>
          <t>X84C97E</t>
        </is>
      </c>
    </row>
    <row r="112">
      <c r="A112" s="28" t="n">
        <v>180877</v>
      </c>
      <c r="B112" s="2" t="inlineStr">
        <is>
          <t>MAGNIT PJSC COMMON STOCK RUB 0.01</t>
        </is>
      </c>
      <c r="C112" s="18" t="n">
        <v>53819.41</v>
      </c>
      <c r="D112" s="19">
        <f>C112/$C$127</f>
        <v/>
      </c>
      <c r="E112" s="38" t="inlineStr">
        <is>
          <t>X8C505A</t>
        </is>
      </c>
    </row>
    <row r="113">
      <c r="A113" s="28" t="n">
        <v>1265335</v>
      </c>
      <c r="B113" s="2" t="inlineStr">
        <is>
          <t>GAZPROM NEFT PJSC COMMON STOCK RUB</t>
        </is>
      </c>
      <c r="C113" s="18" t="n">
        <v>48634.87</v>
      </c>
      <c r="D113" s="19">
        <f>C113/$C$127</f>
        <v/>
      </c>
      <c r="E113" s="38" t="inlineStr">
        <is>
          <t>X84D1F6</t>
        </is>
      </c>
    </row>
    <row r="114">
      <c r="A114" s="28" t="n">
        <v>730066</v>
      </c>
      <c r="B114" s="2" t="inlineStr">
        <is>
          <t>TATNEFT PJSC COMMON STOCK RUB</t>
        </is>
      </c>
      <c r="C114" s="18" t="n">
        <v>26302.55</v>
      </c>
      <c r="D114" s="19">
        <f>C114/$C$127</f>
        <v/>
      </c>
      <c r="E114" s="38" t="inlineStr">
        <is>
          <t>X84C973</t>
        </is>
      </c>
    </row>
    <row r="115">
      <c r="A115" s="28" t="n">
        <v>571359</v>
      </c>
      <c r="B115" s="2" t="inlineStr">
        <is>
          <t>TATNEFT PJSC PREFERENCE RUB 1</t>
        </is>
      </c>
      <c r="C115" s="18" t="n">
        <v>18229.22</v>
      </c>
      <c r="D115" s="19">
        <f>C115/$C$127</f>
        <v/>
      </c>
      <c r="E115" s="38" t="inlineStr">
        <is>
          <t>X8C6150</t>
        </is>
      </c>
    </row>
    <row r="116">
      <c r="A116" s="28" t="n"/>
      <c r="B116" s="27" t="inlineStr">
        <is>
          <t>Subtotal</t>
        </is>
      </c>
      <c r="C116" s="29">
        <f>+C115+C114</f>
        <v/>
      </c>
      <c r="D116" s="31">
        <f>C116/$C$130</f>
        <v/>
      </c>
      <c r="E116" s="38" t="n"/>
    </row>
    <row r="117">
      <c r="A117" s="46" t="n">
        <v>6156103</v>
      </c>
      <c r="B117" s="45" t="inlineStr">
        <is>
          <t>ROSTELECOM PJSC COMMON STOCK RUB</t>
        </is>
      </c>
      <c r="C117" s="47" t="n">
        <v>41952.53</v>
      </c>
      <c r="D117" s="19">
        <f>C117/$C$127</f>
        <v/>
      </c>
      <c r="E117" s="38" t="inlineStr">
        <is>
          <t>X84C978</t>
        </is>
      </c>
    </row>
    <row r="118">
      <c r="A118" s="46" t="n">
        <v>4246654</v>
      </c>
      <c r="B118" s="45" t="inlineStr">
        <is>
          <t>VTB BANK PJSC COMMON STOCK RUB 0.01</t>
        </is>
      </c>
      <c r="C118" s="47" t="n">
        <v>40808.89</v>
      </c>
      <c r="D118" s="19">
        <f>C118/$C$127</f>
        <v/>
      </c>
      <c r="E118" s="38" t="inlineStr">
        <is>
          <t>X8C6392</t>
        </is>
      </c>
    </row>
    <row r="119">
      <c r="A119" s="46" t="n">
        <v>29773</v>
      </c>
      <c r="B119" s="45" t="inlineStr">
        <is>
          <t>POLYUS PJSC COMMON STOCK RUB</t>
        </is>
      </c>
      <c r="C119" s="47" t="n">
        <v>29388.88</v>
      </c>
      <c r="D119" s="19">
        <f>C119/$C$127</f>
        <v/>
      </c>
      <c r="E119" s="38" t="inlineStr">
        <is>
          <t>X84D1F8</t>
        </is>
      </c>
    </row>
    <row r="120">
      <c r="A120" s="46" t="n">
        <v>432517</v>
      </c>
      <c r="B120" s="45" t="inlineStr">
        <is>
          <t>MD MEDICAL GROUP INVESTMENTS PLC GDR USD</t>
        </is>
      </c>
      <c r="C120" s="47" t="n">
        <v>19579.45</v>
      </c>
      <c r="D120" s="19">
        <f>C120/$C$127</f>
        <v/>
      </c>
      <c r="E120" s="38" t="inlineStr">
        <is>
          <t>X8C6397</t>
        </is>
      </c>
    </row>
    <row r="121">
      <c r="A121" s="46" t="n">
        <v>12313057</v>
      </c>
      <c r="B121" s="45" t="inlineStr">
        <is>
          <t>SISTEMA PJSFC COMMON STOCK RUB 0.09</t>
        </is>
      </c>
      <c r="C121" s="47" t="n">
        <v>14716.31</v>
      </c>
      <c r="D121" s="19">
        <f>C121/$C$127</f>
        <v/>
      </c>
      <c r="E121" s="38" t="inlineStr">
        <is>
          <t>X84D1F7</t>
        </is>
      </c>
    </row>
    <row r="122">
      <c r="A122" s="46" t="n">
        <v>577525</v>
      </c>
      <c r="B122" s="45" t="inlineStr">
        <is>
          <t>FIX PRICE GROUP LTD GDR</t>
        </is>
      </c>
      <c r="C122" s="47" t="n">
        <v>4311.43</v>
      </c>
      <c r="D122" s="19">
        <f>C122/$C$127</f>
        <v/>
      </c>
      <c r="E122" s="38" t="inlineStr">
        <is>
          <t>X84CF24</t>
        </is>
      </c>
    </row>
    <row r="123">
      <c r="A123" s="46" t="n">
        <v>75226</v>
      </c>
      <c r="B123" s="45" t="inlineStr">
        <is>
          <t>TCS GROUP HOLDING PLC GDR</t>
        </is>
      </c>
      <c r="C123" s="47" t="n">
        <v>1907.61</v>
      </c>
      <c r="D123" s="19">
        <f>C123/$C$127</f>
        <v/>
      </c>
      <c r="E123" s="38" t="inlineStr">
        <is>
          <t>X8C4FD3</t>
        </is>
      </c>
    </row>
    <row r="124">
      <c r="A124" s="46" t="n">
        <v>275182</v>
      </c>
      <c r="B124" s="45" t="inlineStr">
        <is>
          <t>X 5 RETAIL GROUP NV-REGS GDR</t>
        </is>
      </c>
      <c r="C124" s="47" t="n">
        <v>1161.35</v>
      </c>
      <c r="D124" s="19">
        <f>C124/$C$127</f>
        <v/>
      </c>
      <c r="E124" s="38" t="inlineStr">
        <is>
          <t>X8C4FD9</t>
        </is>
      </c>
    </row>
    <row r="125">
      <c r="A125" s="46" t="n">
        <v>552780</v>
      </c>
      <c r="B125" s="45" t="inlineStr">
        <is>
          <t>SEVERSTAL PAO GDR USD</t>
        </is>
      </c>
      <c r="C125" s="47" t="n">
        <v>263.84</v>
      </c>
      <c r="D125" s="19">
        <f>C125/$C$127</f>
        <v/>
      </c>
      <c r="E125" s="38" t="inlineStr">
        <is>
          <t>X84C975</t>
        </is>
      </c>
    </row>
    <row r="126">
      <c r="A126" s="28" t="n"/>
      <c r="B126" s="2" t="n"/>
      <c r="C126" s="18" t="n"/>
      <c r="D126" s="19" t="n"/>
      <c r="E126" s="38" t="n"/>
    </row>
    <row r="127">
      <c r="A127" s="28" t="n"/>
      <c r="B127" s="21" t="inlineStr">
        <is>
          <t>Total portfolio</t>
        </is>
      </c>
      <c r="C127" s="39">
        <f>SUM(C12:C35)+SUM(C37:C63)+SUM(C65:C68)+SUM(C70:C91)+SUM(C93:C109)+SUM(C111:C115)+SUM(C117:C125)</f>
        <v/>
      </c>
      <c r="D127" s="19">
        <f>C127/$C$130</f>
        <v/>
      </c>
      <c r="E127" s="20" t="n"/>
    </row>
    <row r="128">
      <c r="A128" s="28" t="n"/>
      <c r="B128" s="21" t="inlineStr">
        <is>
          <t>Net Current Assets</t>
        </is>
      </c>
      <c r="C128" s="39" t="n">
        <v>84639.56999999998</v>
      </c>
      <c r="D128" s="19">
        <f>C128/$C$130</f>
        <v/>
      </c>
      <c r="E128" s="20" t="n"/>
    </row>
    <row r="129">
      <c r="A129" s="28" t="n"/>
      <c r="B129" s="21" t="n"/>
      <c r="C129" s="39" t="n"/>
      <c r="D129" s="32" t="n"/>
      <c r="E129" s="20" t="n"/>
    </row>
    <row r="130">
      <c r="A130" s="17" t="n"/>
      <c r="B130" s="21"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2"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E138"/>
  <sheetViews>
    <sheetView topLeftCell="A112" workbookViewId="0">
      <selection activeCell="B132" sqref="B132"/>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January 2025</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753031.21</v>
      </c>
      <c r="D12" s="19">
        <f>C12/$C$131</f>
        <v/>
      </c>
      <c r="E12" s="20" t="inlineStr">
        <is>
          <t>B12LZH9</t>
        </is>
      </c>
    </row>
    <row r="13">
      <c r="A13" s="41" t="n">
        <v>181376</v>
      </c>
      <c r="B13" s="2" t="inlineStr">
        <is>
          <t>EMAAR PROPERTIES PJSC COMMON STOCK AED 1</t>
        </is>
      </c>
      <c r="C13" s="18" t="n">
        <v>536503.88</v>
      </c>
      <c r="D13" s="19">
        <f>C13/$C$131</f>
        <v/>
      </c>
      <c r="E13" s="20" t="inlineStr">
        <is>
          <t>B01RM25</t>
        </is>
      </c>
    </row>
    <row r="14">
      <c r="A14" s="41" t="n">
        <v>142756</v>
      </c>
      <c r="B14" s="2" t="inlineStr">
        <is>
          <t>QATAR NATIONAL BANK QPSC COMMON STOCK QAR 1</t>
        </is>
      </c>
      <c r="C14" s="18" t="n">
        <v>525696.17</v>
      </c>
      <c r="D14" s="19">
        <f>C14/$C$131</f>
        <v/>
      </c>
      <c r="E14" s="20" t="inlineStr">
        <is>
          <t>6148197</t>
        </is>
      </c>
    </row>
    <row r="15">
      <c r="A15" s="41" t="n">
        <v>143349</v>
      </c>
      <c r="B15" s="45" t="inlineStr">
        <is>
          <t>FIRSTRAND LTD COMMON STOCK ZAR 1</t>
        </is>
      </c>
      <c r="C15" s="33" t="n">
        <v>470983.2</v>
      </c>
      <c r="D15" s="19">
        <f>C15/$C$131</f>
        <v/>
      </c>
      <c r="E15" s="20" t="inlineStr">
        <is>
          <t>6606996</t>
        </is>
      </c>
    </row>
    <row r="16">
      <c r="A16" s="41" t="n">
        <v>2623</v>
      </c>
      <c r="B16" s="2" t="inlineStr">
        <is>
          <t>NASPERS LTD COMMON STOCK ZAR 2</t>
        </is>
      </c>
      <c r="C16" s="18" t="n">
        <v>446348.76</v>
      </c>
      <c r="D16" s="19">
        <f>C16/$C$131</f>
        <v/>
      </c>
      <c r="E16" s="20" t="inlineStr">
        <is>
          <t>BN0VX82</t>
        </is>
      </c>
    </row>
    <row r="17">
      <c r="A17" s="41" t="n">
        <v>8780</v>
      </c>
      <c r="B17" s="2" t="inlineStr">
        <is>
          <t>OTP BANK NYRT COMMON STOCK HUF 100</t>
        </is>
      </c>
      <c r="C17" s="18" t="n">
        <v>438792.14</v>
      </c>
      <c r="D17" s="19">
        <f>C17/$C$131</f>
        <v/>
      </c>
      <c r="E17" s="20" t="inlineStr">
        <is>
          <t>7320154</t>
        </is>
      </c>
    </row>
    <row r="18">
      <c r="A18" s="41" t="n">
        <v>31177</v>
      </c>
      <c r="B18" s="2" t="inlineStr">
        <is>
          <t>GOLD FIELDS LTD COMMON STOCK ZAR 50</t>
        </is>
      </c>
      <c r="C18" s="33" t="n">
        <v>434532.37</v>
      </c>
      <c r="D18" s="19">
        <f>C18/$C$131</f>
        <v/>
      </c>
      <c r="E18" s="20" t="inlineStr">
        <is>
          <t>6280215</t>
        </is>
      </c>
    </row>
    <row r="19">
      <c r="A19" s="41" t="n">
        <v>29624</v>
      </c>
      <c r="B19" s="2" t="inlineStr">
        <is>
          <t>POWSZECHNA KASA OSZCZEDNOSCI BANK POLSKI SA COMMON STOCK PLN 1</t>
        </is>
      </c>
      <c r="C19" s="33" t="n">
        <v>393371.21</v>
      </c>
      <c r="D19" s="19">
        <f>C19/$C$131</f>
        <v/>
      </c>
      <c r="E19" s="20" t="inlineStr">
        <is>
          <t>B03NGS5</t>
        </is>
      </c>
    </row>
    <row r="20">
      <c r="A20" s="41" t="n">
        <v>148768</v>
      </c>
      <c r="B20" s="2" t="inlineStr">
        <is>
          <t>ABU DHABI COMMERCIAL BANK PJSC COMMON STOCK AED 1</t>
        </is>
      </c>
      <c r="C20" s="18" t="n">
        <v>390504.12</v>
      </c>
      <c r="D20" s="19">
        <f>C20/$C$131</f>
        <v/>
      </c>
      <c r="E20" s="20" t="inlineStr">
        <is>
          <t>6545464</t>
        </is>
      </c>
    </row>
    <row r="21">
      <c r="A21" s="41" t="n">
        <v>40265</v>
      </c>
      <c r="B21" s="2" t="inlineStr">
        <is>
          <t>STANDARD BANK GROUP LTD COMMON STOCK ZAR 10</t>
        </is>
      </c>
      <c r="C21" s="18" t="n">
        <v>378100.4</v>
      </c>
      <c r="D21" s="19">
        <f>C21/$C$131</f>
        <v/>
      </c>
      <c r="E21" s="20" t="inlineStr">
        <is>
          <t>B030GJ7</t>
        </is>
      </c>
    </row>
    <row r="22">
      <c r="A22" s="41" t="n">
        <v>51456</v>
      </c>
      <c r="B22" s="2" t="inlineStr">
        <is>
          <t>THE SAUDI NATIONAL BANK</t>
        </is>
      </c>
      <c r="C22" s="18" t="n">
        <v>377051.37</v>
      </c>
      <c r="D22" s="19">
        <f>C22/$C$131</f>
        <v/>
      </c>
      <c r="E22" s="20" t="inlineStr">
        <is>
          <t>BSHYYN1</t>
        </is>
      </c>
    </row>
    <row r="23">
      <c r="A23" s="41" t="n">
        <v>62834</v>
      </c>
      <c r="B23" s="2" t="inlineStr">
        <is>
          <t>SAUDI ARABIAN OIL CO COMMON STOCK SAR</t>
        </is>
      </c>
      <c r="C23" s="18" t="n">
        <v>374137.71</v>
      </c>
      <c r="D23" s="19">
        <f>C23/$C$131</f>
        <v/>
      </c>
      <c r="E23" s="20" t="inlineStr">
        <is>
          <t>BJTM270</t>
        </is>
      </c>
    </row>
    <row r="24">
      <c r="A24" s="41" t="n">
        <v>78089</v>
      </c>
      <c r="B24" s="2" t="inlineStr">
        <is>
          <t>EMIRATES NBD BANK PJSC COMMON STOCK AED 1</t>
        </is>
      </c>
      <c r="C24" s="18" t="n">
        <v>356742.79</v>
      </c>
      <c r="D24" s="19">
        <f>C24/$C$131</f>
        <v/>
      </c>
      <c r="E24" s="20" t="inlineStr">
        <is>
          <t>B28PFX8</t>
        </is>
      </c>
    </row>
    <row r="25">
      <c r="A25" s="41" t="n">
        <v>54728</v>
      </c>
      <c r="B25" s="2" t="inlineStr">
        <is>
          <t>RIYAD BANK COMMON STOCK SAR 10</t>
        </is>
      </c>
      <c r="C25" s="18" t="n">
        <v>344073.31</v>
      </c>
      <c r="D25" s="19">
        <f>C25/$C$131</f>
        <v/>
      </c>
      <c r="E25" s="20" t="inlineStr">
        <is>
          <t>B12LZW4</t>
        </is>
      </c>
    </row>
    <row r="26">
      <c r="A26" s="41" t="n">
        <v>15105</v>
      </c>
      <c r="B26" s="2" t="inlineStr">
        <is>
          <t>NOVA LJUBLJANSKA BANKA DD GDR EUR</t>
        </is>
      </c>
      <c r="C26" s="18" t="n">
        <v>343732.93</v>
      </c>
      <c r="D26" s="19">
        <f>C26/$C$131</f>
        <v/>
      </c>
      <c r="E26" s="20" t="inlineStr">
        <is>
          <t>BGRPD22</t>
        </is>
      </c>
    </row>
    <row r="27">
      <c r="A27" s="41" t="n">
        <v>22007</v>
      </c>
      <c r="B27" s="2" t="inlineStr">
        <is>
          <t>HALYK SAVINGS BANK OF KAZAKHSTAN JSC GDR USD</t>
        </is>
      </c>
      <c r="C27" s="18" t="n">
        <v>339345.79</v>
      </c>
      <c r="D27" s="19">
        <f>C27/$C$131</f>
        <v/>
      </c>
      <c r="E27" s="20" t="inlineStr">
        <is>
          <t>B1KDG41</t>
        </is>
      </c>
    </row>
    <row r="28">
      <c r="A28" s="41" t="n">
        <v>49901</v>
      </c>
      <c r="B28" s="2" t="inlineStr">
        <is>
          <t>ALINMA BANK COMMON STOCK SAR 10</t>
        </is>
      </c>
      <c r="C28" s="18" t="n">
        <v>319079.8</v>
      </c>
      <c r="D28" s="19">
        <f>C28/$C$131</f>
        <v/>
      </c>
      <c r="E28" s="20" t="inlineStr">
        <is>
          <t>B39NWT3</t>
        </is>
      </c>
    </row>
    <row r="29">
      <c r="A29" s="41" t="n">
        <v>190207</v>
      </c>
      <c r="B29" s="2" t="inlineStr">
        <is>
          <t>ALDAR PROPERTIES PJSC COMMON STOCK AED 1</t>
        </is>
      </c>
      <c r="C29" s="18" t="n">
        <v>318821.22</v>
      </c>
      <c r="D29" s="19">
        <f>C29/$C$131</f>
        <v/>
      </c>
      <c r="E29" s="20" t="inlineStr">
        <is>
          <t>B0LX3Y2</t>
        </is>
      </c>
    </row>
    <row r="30">
      <c r="A30" s="41" t="n">
        <v>44742</v>
      </c>
      <c r="B30" s="2" t="inlineStr">
        <is>
          <t>NATIONAL BANK OF GREECE SA COMMON STOCK EUR 1</t>
        </is>
      </c>
      <c r="C30" s="18" t="n">
        <v>313682.95</v>
      </c>
      <c r="D30" s="19">
        <f>C30/$C$131</f>
        <v/>
      </c>
      <c r="E30" s="20" t="inlineStr">
        <is>
          <t>BG087C6</t>
        </is>
      </c>
    </row>
    <row r="31">
      <c r="A31" s="41" t="n">
        <v>1247</v>
      </c>
      <c r="B31" s="2" t="inlineStr">
        <is>
          <t>ELM CO COMMON STOCK SAR 10</t>
        </is>
      </c>
      <c r="C31" s="18" t="n">
        <v>311453.51</v>
      </c>
      <c r="D31" s="19">
        <f>C31/$C$131</f>
        <v/>
      </c>
      <c r="E31" s="20" t="inlineStr">
        <is>
          <t>BNYDSH8</t>
        </is>
      </c>
    </row>
    <row r="32">
      <c r="A32" s="41" t="n">
        <v>43441</v>
      </c>
      <c r="B32" s="2" t="inlineStr">
        <is>
          <t>TURK HAVA YOLLARI AO COMMON STOCK TRY 1</t>
        </is>
      </c>
      <c r="C32" s="18" t="n">
        <v>308862.33</v>
      </c>
      <c r="D32" s="19">
        <f>C32/$C$131</f>
        <v/>
      </c>
      <c r="E32" s="20" t="inlineStr">
        <is>
          <t>B03MYK0</t>
        </is>
      </c>
    </row>
    <row r="33">
      <c r="A33" s="41" t="n">
        <v>9176</v>
      </c>
      <c r="B33" s="2" t="inlineStr">
        <is>
          <t>TBC BANK GROUP PLC COMMON STOCK GBP 1</t>
        </is>
      </c>
      <c r="C33" s="18" t="n">
        <v>306019.6</v>
      </c>
      <c r="D33" s="19">
        <f>C33/$C$131</f>
        <v/>
      </c>
      <c r="E33" s="20" t="inlineStr">
        <is>
          <t>BYT1830</t>
        </is>
      </c>
    </row>
    <row r="34">
      <c r="A34" s="41" t="n">
        <v>9790</v>
      </c>
      <c r="B34" s="2" t="inlineStr">
        <is>
          <t>NAC KAZATOMPROM JSC GDR USD</t>
        </is>
      </c>
      <c r="C34" s="18" t="n">
        <v>300582.27</v>
      </c>
      <c r="D34" s="19">
        <f>C34/$C$131</f>
        <v/>
      </c>
      <c r="E34" s="20" t="inlineStr">
        <is>
          <t>BGXQL36</t>
        </is>
      </c>
    </row>
    <row r="35">
      <c r="A35" s="41" t="n">
        <v>88181</v>
      </c>
      <c r="B35" s="2" t="inlineStr">
        <is>
          <t>ABU DHABI ISLAMIC BANK PJSC COMMON STOCK AED 1</t>
        </is>
      </c>
      <c r="C35" s="18" t="n">
        <v>299478.74</v>
      </c>
      <c r="D35" s="19">
        <f>C35/$C$131</f>
        <v/>
      </c>
      <c r="E35" s="20" t="inlineStr">
        <is>
          <t>6001728</t>
        </is>
      </c>
    </row>
    <row r="36">
      <c r="A36" s="41" t="n">
        <v>6209</v>
      </c>
      <c r="B36" s="2" t="inlineStr">
        <is>
          <t>LION FINANCE GROUP PLC COMMON STOCK GBP 1</t>
        </is>
      </c>
      <c r="C36" s="18" t="n">
        <v>294927.5</v>
      </c>
      <c r="D36" s="19">
        <f>C36/$C$131</f>
        <v/>
      </c>
      <c r="E36" s="20" t="inlineStr">
        <is>
          <t>BF4HYT8</t>
        </is>
      </c>
    </row>
    <row r="37">
      <c r="A37" s="41" t="n">
        <v>31227</v>
      </c>
      <c r="B37" s="2" t="inlineStr">
        <is>
          <t>HARMONY GOLD MINING CO LTD COMMON STOCK ZAR 50</t>
        </is>
      </c>
      <c r="C37" s="18" t="n">
        <v>287994.61</v>
      </c>
      <c r="D37" s="19">
        <f>C37/$C$131</f>
        <v/>
      </c>
      <c r="E37" s="20" t="inlineStr">
        <is>
          <t>6410562</t>
        </is>
      </c>
    </row>
    <row r="38">
      <c r="A38" s="41" t="n">
        <v>362649</v>
      </c>
      <c r="B38" s="2" t="inlineStr">
        <is>
          <t>LUKOIL PJSC COMMON STOCK RUB 0.025 RUB</t>
        </is>
      </c>
      <c r="C38" s="18" t="n">
        <v>152120.73</v>
      </c>
      <c r="D38" s="19">
        <f>C38/$C$131</f>
        <v/>
      </c>
      <c r="E38" s="20" t="inlineStr">
        <is>
          <t>X84C974</t>
        </is>
      </c>
    </row>
    <row r="39">
      <c r="A39" s="41" t="n">
        <v>262047</v>
      </c>
      <c r="B39" s="2" t="inlineStr">
        <is>
          <t>LUKOIL PJSC COMMON STOCK RUB</t>
        </is>
      </c>
      <c r="C39" s="18" t="n">
        <v>131512.1</v>
      </c>
      <c r="D39" s="19">
        <f>C39/$C$131</f>
        <v/>
      </c>
      <c r="E39" s="20" t="inlineStr">
        <is>
          <t>X84D1F5</t>
        </is>
      </c>
    </row>
    <row r="40">
      <c r="A40" s="28" t="n"/>
      <c r="B40" s="27" t="inlineStr">
        <is>
          <t>Subtotal</t>
        </is>
      </c>
      <c r="C40" s="29">
        <f>+C39+C38</f>
        <v/>
      </c>
      <c r="D40" s="31">
        <f>C40/$C$134</f>
        <v/>
      </c>
      <c r="E40" s="20" t="n"/>
    </row>
    <row r="41">
      <c r="A41" s="28" t="n">
        <v>3703</v>
      </c>
      <c r="B41" s="2" t="inlineStr">
        <is>
          <t>JSC KASPI.KZ GDR-REG S</t>
        </is>
      </c>
      <c r="C41" s="18" t="n">
        <v>283413.38</v>
      </c>
      <c r="D41" s="19">
        <f>C41/$C$131</f>
        <v/>
      </c>
      <c r="E41" s="20" t="inlineStr">
        <is>
          <t>BJY21K1</t>
        </is>
      </c>
    </row>
    <row r="42">
      <c r="A42" s="28" t="n">
        <v>35367</v>
      </c>
      <c r="B42" s="2" t="inlineStr">
        <is>
          <t>ABSA GROUP LTD</t>
        </is>
      </c>
      <c r="C42" s="18" t="n">
        <v>283016.39</v>
      </c>
      <c r="D42" s="19">
        <f>C42/$C$131</f>
        <v/>
      </c>
      <c r="E42" s="20" t="inlineStr">
        <is>
          <t>BFX05H3</t>
        </is>
      </c>
    </row>
    <row r="43">
      <c r="A43" s="28" t="n">
        <v>112308</v>
      </c>
      <c r="B43" s="2" t="inlineStr">
        <is>
          <t>TURKCELL ILETISIM HIZMET AS</t>
        </is>
      </c>
      <c r="C43" s="18" t="n">
        <v>272511.54</v>
      </c>
      <c r="D43" s="19">
        <f>C43/$C$131</f>
        <v/>
      </c>
      <c r="E43" s="20" t="inlineStr">
        <is>
          <t>B03MYN3</t>
        </is>
      </c>
    </row>
    <row r="44">
      <c r="A44" s="28" t="n">
        <v>56454</v>
      </c>
      <c r="B44" s="2" t="inlineStr">
        <is>
          <t>MONETA MONEY BANK AS COMMON STOCK CZK 20</t>
        </is>
      </c>
      <c r="C44" s="18" t="n">
        <v>257638.39</v>
      </c>
      <c r="D44" s="19">
        <f>C44/$C$131</f>
        <v/>
      </c>
      <c r="E44" s="20" t="inlineStr">
        <is>
          <t>BD3CQ16</t>
        </is>
      </c>
    </row>
    <row r="45">
      <c r="A45" s="28" t="n">
        <v>127190</v>
      </c>
      <c r="B45" s="2" t="inlineStr">
        <is>
          <t>EUROBANK ERGASIAS SERVICES AND HOLDINGS SA COMMON STOCK EUR 0.22</t>
        </is>
      </c>
      <c r="C45" s="18" t="n">
        <v>257513.4</v>
      </c>
      <c r="D45" s="19">
        <f>C45/$C$131</f>
        <v/>
      </c>
      <c r="E45" s="20" t="inlineStr">
        <is>
          <t>BYZ43T4</t>
        </is>
      </c>
    </row>
    <row r="46">
      <c r="A46" s="28" t="n">
        <v>458472</v>
      </c>
      <c r="B46" s="2" t="inlineStr">
        <is>
          <t>DUBAI ELECTRICITY &amp; WATER AU</t>
        </is>
      </c>
      <c r="C46" s="18" t="n">
        <v>255156.02</v>
      </c>
      <c r="D46" s="19">
        <f>C46/$C$131</f>
        <v/>
      </c>
      <c r="E46" s="20" t="inlineStr">
        <is>
          <t>BJLTVJ4</t>
        </is>
      </c>
    </row>
    <row r="47">
      <c r="A47" s="28" t="n">
        <v>19988</v>
      </c>
      <c r="B47" s="2" t="inlineStr">
        <is>
          <t>BIM BIRLESIK MAGAZALAR AS COMMON STOCK TRY 1</t>
        </is>
      </c>
      <c r="C47" s="18" t="n">
        <v>246763.28</v>
      </c>
      <c r="D47" s="19">
        <f>C47/$C$131</f>
        <v/>
      </c>
      <c r="E47" s="20" t="inlineStr">
        <is>
          <t>B0D0006</t>
        </is>
      </c>
    </row>
    <row r="48">
      <c r="A48" s="28" t="n">
        <v>19991</v>
      </c>
      <c r="B48" s="2" t="inlineStr">
        <is>
          <t>SHOPRITE HOLDINGS LTD COMMON STOCK ZAR 113.4</t>
        </is>
      </c>
      <c r="C48" s="18" t="n">
        <v>246293.95</v>
      </c>
      <c r="D48" s="19">
        <f>C48/$C$131</f>
        <v/>
      </c>
      <c r="E48" s="20" t="inlineStr">
        <is>
          <t>6801575</t>
        </is>
      </c>
    </row>
    <row r="49">
      <c r="A49" s="28" t="n">
        <v>85774</v>
      </c>
      <c r="B49" s="2" t="inlineStr">
        <is>
          <t>EMAAR DEVELOPMENT PJSC COMMON STOCK AED 1</t>
        </is>
      </c>
      <c r="C49" s="18" t="n">
        <v>246198.98</v>
      </c>
      <c r="D49" s="19">
        <f>C49/$C$131</f>
        <v/>
      </c>
      <c r="E49" s="20" t="inlineStr">
        <is>
          <t>BDG1977</t>
        </is>
      </c>
    </row>
    <row r="50">
      <c r="A50" s="28" t="n">
        <v>144384</v>
      </c>
      <c r="B50" s="2" t="inlineStr">
        <is>
          <t>DUBAI ISLAMIC BANK PJSC COMMON STOCK AED 1</t>
        </is>
      </c>
      <c r="C50" s="18" t="n">
        <v>243595.4</v>
      </c>
      <c r="D50" s="19">
        <f>C50/$C$131</f>
        <v/>
      </c>
      <c r="E50" s="20" t="inlineStr">
        <is>
          <t>6283452</t>
        </is>
      </c>
    </row>
    <row r="51">
      <c r="A51" s="28" t="n">
        <v>24898</v>
      </c>
      <c r="B51" s="2" t="inlineStr">
        <is>
          <t>SARANTIS SA EUR1.53</t>
        </is>
      </c>
      <c r="C51" s="18" t="n">
        <v>237465.66</v>
      </c>
      <c r="D51" s="19">
        <f>C51/$C$131</f>
        <v/>
      </c>
      <c r="E51" s="20" t="inlineStr">
        <is>
          <t>7124958</t>
        </is>
      </c>
    </row>
    <row r="52">
      <c r="A52" s="28" t="n">
        <v>20472</v>
      </c>
      <c r="B52" s="2" t="inlineStr">
        <is>
          <t>SAUDI GROUND SERVICES CO COMMON STOCK SAR 10</t>
        </is>
      </c>
      <c r="C52" s="18" t="n">
        <v>236328.63</v>
      </c>
      <c r="D52" s="19">
        <f>C52/$C$131</f>
        <v/>
      </c>
      <c r="E52" s="20" t="inlineStr">
        <is>
          <t>BYYTJ69</t>
        </is>
      </c>
    </row>
    <row r="53">
      <c r="A53" s="28" t="n">
        <v>11178</v>
      </c>
      <c r="B53" s="2" t="inlineStr">
        <is>
          <t>RICHTER GEDEON NYRT COMMON STOCK HUF 100</t>
        </is>
      </c>
      <c r="C53" s="18" t="n">
        <v>233548.58</v>
      </c>
      <c r="D53" s="19">
        <f>C53/$C$131</f>
        <v/>
      </c>
      <c r="E53" s="20" t="inlineStr">
        <is>
          <t>BC9ZH86</t>
        </is>
      </c>
    </row>
    <row r="54">
      <c r="A54" s="28" t="n">
        <v>63663</v>
      </c>
      <c r="B54" s="2" t="inlineStr">
        <is>
          <t>PIRAEUS FINANCIAL HOLDINGS SA COMMON STOCK EUR 0.93</t>
        </is>
      </c>
      <c r="C54" s="18" t="n">
        <v>233341.43</v>
      </c>
      <c r="D54" s="19">
        <f>C54/$C$131</f>
        <v/>
      </c>
      <c r="E54" s="20" t="inlineStr">
        <is>
          <t>BNC0DB0</t>
        </is>
      </c>
    </row>
    <row r="55">
      <c r="A55" s="28" t="n">
        <v>7292</v>
      </c>
      <c r="B55" s="2" t="inlineStr">
        <is>
          <t>BANK POLSKA KASA OPIEKI SA COMMON STOCK PLN 1</t>
        </is>
      </c>
      <c r="C55" s="18" t="n">
        <v>232085.7</v>
      </c>
      <c r="D55" s="19">
        <f>C55/$C$131</f>
        <v/>
      </c>
      <c r="E55" s="20" t="inlineStr">
        <is>
          <t>5473113</t>
        </is>
      </c>
    </row>
    <row r="56">
      <c r="A56" s="28" t="n">
        <v>71</v>
      </c>
      <c r="B56" s="2" t="inlineStr">
        <is>
          <t>LPP SA COMMON STOCK PLN 2</t>
        </is>
      </c>
      <c r="C56" s="18" t="n">
        <v>231823.26</v>
      </c>
      <c r="D56" s="19">
        <f>C56/$C$131</f>
        <v/>
      </c>
      <c r="E56" s="20" t="inlineStr">
        <is>
          <t>7127979</t>
        </is>
      </c>
    </row>
    <row r="57">
      <c r="A57" s="28" t="n">
        <v>8860909</v>
      </c>
      <c r="B57" s="2" t="inlineStr">
        <is>
          <t>GAZPROM PJSC COMMON STOCK RUB</t>
        </is>
      </c>
      <c r="C57" s="18" t="n">
        <v>205370.85</v>
      </c>
      <c r="D57" s="19">
        <f>C57/$C$131</f>
        <v/>
      </c>
      <c r="E57" s="20" t="inlineStr">
        <is>
          <t>X8C529A</t>
        </is>
      </c>
    </row>
    <row r="58">
      <c r="A58" s="28" t="n">
        <v>5365084</v>
      </c>
      <c r="B58" s="2" t="inlineStr">
        <is>
          <t>GAZPROM PJSC ADR</t>
        </is>
      </c>
      <c r="C58" s="18" t="n">
        <v>25103.7</v>
      </c>
      <c r="D58" s="19">
        <f>C58/$C$131</f>
        <v/>
      </c>
      <c r="E58" s="20" t="inlineStr">
        <is>
          <t>X84C976</t>
        </is>
      </c>
    </row>
    <row r="59">
      <c r="A59" s="28" t="n"/>
      <c r="B59" s="27" t="inlineStr">
        <is>
          <t>Subtotal</t>
        </is>
      </c>
      <c r="C59" s="29">
        <f>+C58+C57</f>
        <v/>
      </c>
      <c r="D59" s="31">
        <f>C59/$C$134</f>
        <v/>
      </c>
      <c r="E59" s="38" t="n"/>
    </row>
    <row r="60">
      <c r="A60" s="41" t="n">
        <v>24635</v>
      </c>
      <c r="B60" s="2" t="inlineStr">
        <is>
          <t>SAUDI TELECOM CO COMMON STOCK</t>
        </is>
      </c>
      <c r="C60" s="18" t="n">
        <v>229940.58</v>
      </c>
      <c r="D60" s="19">
        <f>C60/$C$131</f>
        <v/>
      </c>
      <c r="E60" s="38" t="inlineStr">
        <is>
          <t>B12M7Q5</t>
        </is>
      </c>
    </row>
    <row r="61">
      <c r="A61" s="41" t="n">
        <v>392</v>
      </c>
      <c r="B61" s="2" t="inlineStr">
        <is>
          <t>BENEFIT SYSTEMS SA COMMON STOCK PLN 1</t>
        </is>
      </c>
      <c r="C61" s="18" t="n">
        <v>229919.76</v>
      </c>
      <c r="D61" s="19">
        <f>C61/$C$131</f>
        <v/>
      </c>
      <c r="E61" s="38" t="inlineStr">
        <is>
          <t>B4XY9X2</t>
        </is>
      </c>
    </row>
    <row r="62">
      <c r="A62" s="41" t="n">
        <v>23041</v>
      </c>
      <c r="B62" s="2" t="inlineStr">
        <is>
          <t>POWSZECHNY ZAKLAD UBEZPIECZEN SA COMMON STOCK PLN 0.1</t>
        </is>
      </c>
      <c r="C62" s="18" t="n">
        <v>228621.57</v>
      </c>
      <c r="D62" s="19">
        <f>C62/$C$131</f>
        <v/>
      </c>
      <c r="E62" s="38" t="inlineStr">
        <is>
          <t>B63DG21</t>
        </is>
      </c>
    </row>
    <row r="63">
      <c r="A63" s="41" t="n">
        <v>10435</v>
      </c>
      <c r="B63" s="2" t="inlineStr">
        <is>
          <t>JUMBO SA COMMON STOCK EUR 0.88</t>
        </is>
      </c>
      <c r="C63" s="18" t="n">
        <v>228556.51</v>
      </c>
      <c r="D63" s="19">
        <f>C63/$C$131</f>
        <v/>
      </c>
      <c r="E63" s="38" t="inlineStr">
        <is>
          <t>7243530</t>
        </is>
      </c>
    </row>
    <row r="64">
      <c r="A64" s="41" t="n">
        <v>156965</v>
      </c>
      <c r="B64" s="2" t="inlineStr">
        <is>
          <t>AKBANK TAS COMMON STOCK TRY 1</t>
        </is>
      </c>
      <c r="C64" s="18" t="n">
        <v>228486.9</v>
      </c>
      <c r="D64" s="19">
        <f>C64/$C$131</f>
        <v/>
      </c>
      <c r="E64" s="38" t="inlineStr">
        <is>
          <t>B03MN70</t>
        </is>
      </c>
    </row>
    <row r="65">
      <c r="A65" s="41" t="n">
        <v>145289</v>
      </c>
      <c r="B65" s="2" t="inlineStr">
        <is>
          <t>ALPHA SERVICES AND HOLDINGS SA COMMON STOCK EUR 0.29</t>
        </is>
      </c>
      <c r="C65" s="18" t="n">
        <v>216849.84</v>
      </c>
      <c r="D65" s="19">
        <f>C65/$C$131</f>
        <v/>
      </c>
      <c r="E65" s="38" t="inlineStr">
        <is>
          <t>BZ1MXR7</t>
        </is>
      </c>
    </row>
    <row r="66">
      <c r="A66" s="41" t="n">
        <v>7396</v>
      </c>
      <c r="B66" s="2" t="inlineStr">
        <is>
          <t>METLEN ENERGY &amp; METALS SA COMMON STOCK EUR 0.97</t>
        </is>
      </c>
      <c r="C66" s="18" t="n">
        <v>215084.04</v>
      </c>
      <c r="D66" s="19">
        <f>C66/$C$131</f>
        <v/>
      </c>
      <c r="E66" s="38" t="inlineStr">
        <is>
          <t>5898664</t>
        </is>
      </c>
    </row>
    <row r="67">
      <c r="A67" s="41" t="n">
        <v>14455036</v>
      </c>
      <c r="B67" s="2" t="inlineStr">
        <is>
          <t>SBERBANK OF RUSSIA PJSC PREFERENCE RUB 3</t>
        </is>
      </c>
      <c r="C67" s="18" t="n">
        <v>184815.06</v>
      </c>
      <c r="D67" s="19">
        <f>C67/$C$131</f>
        <v/>
      </c>
      <c r="E67" s="38" t="inlineStr">
        <is>
          <t>X8C6155</t>
        </is>
      </c>
    </row>
    <row r="68">
      <c r="A68" s="41" t="n">
        <v>2355925</v>
      </c>
      <c r="B68" s="2" t="inlineStr">
        <is>
          <t>SBERBANK OF RUSSIA PJSC</t>
        </is>
      </c>
      <c r="C68" s="18" t="n">
        <v>29904.01</v>
      </c>
      <c r="D68" s="19">
        <f>C68/$C$131</f>
        <v/>
      </c>
      <c r="E68" s="38" t="inlineStr">
        <is>
          <t>X8C6398</t>
        </is>
      </c>
    </row>
    <row r="69">
      <c r="A69" s="41" t="n"/>
      <c r="B69" s="27" t="inlineStr">
        <is>
          <t>Subtotal</t>
        </is>
      </c>
      <c r="C69" s="29">
        <f>+C68+C67</f>
        <v/>
      </c>
      <c r="D69" s="31">
        <f>C69/$C$134</f>
        <v/>
      </c>
      <c r="E69" s="38" t="n"/>
    </row>
    <row r="70">
      <c r="A70" s="28" t="n">
        <v>74864</v>
      </c>
      <c r="B70" s="2" t="inlineStr">
        <is>
          <t>MAGYAR TELEKOM TELECOMMUNICATIONS PLC COMMON STOCK HUF 100</t>
        </is>
      </c>
      <c r="C70" s="18" t="n">
        <v>213269.06</v>
      </c>
      <c r="D70" s="19">
        <f>C70/$C$131</f>
        <v/>
      </c>
      <c r="E70" s="38" t="inlineStr">
        <is>
          <t>4577469</t>
        </is>
      </c>
    </row>
    <row r="71">
      <c r="A71" s="28" t="n">
        <v>27398</v>
      </c>
      <c r="B71" s="2" t="inlineStr">
        <is>
          <t>SAUDI AWWAL BANK COMMON STOCK SAR 10</t>
        </is>
      </c>
      <c r="C71" s="18" t="n">
        <v>211344.79</v>
      </c>
      <c r="D71" s="19">
        <f>C71/$C$131</f>
        <v/>
      </c>
      <c r="E71" s="38" t="inlineStr">
        <is>
          <t>B12LSY7</t>
        </is>
      </c>
    </row>
    <row r="72">
      <c r="A72" s="28" t="n">
        <v>44002</v>
      </c>
      <c r="B72" s="2" t="inlineStr">
        <is>
          <t>ARABIAN CENTRES CO COMMON STOCK SAR 10</t>
        </is>
      </c>
      <c r="C72" s="18" t="n">
        <v>200162.2</v>
      </c>
      <c r="D72" s="19">
        <f>C72/$C$131</f>
        <v/>
      </c>
      <c r="E72" s="38" t="inlineStr">
        <is>
          <t>BKBF694</t>
        </is>
      </c>
    </row>
    <row r="73">
      <c r="A73" s="28" t="n">
        <v>18156</v>
      </c>
      <c r="B73" s="2" t="inlineStr">
        <is>
          <t>BIDVEST GROUP LTD COMMON STOCK ZAR 5</t>
        </is>
      </c>
      <c r="C73" s="18" t="n">
        <v>199573.17</v>
      </c>
      <c r="D73" s="19">
        <f>C73/$C$131</f>
        <v/>
      </c>
      <c r="E73" s="38" t="inlineStr">
        <is>
          <t>6100089</t>
        </is>
      </c>
    </row>
    <row r="74">
      <c r="A74" s="28" t="n">
        <v>169475</v>
      </c>
      <c r="B74" s="2" t="inlineStr">
        <is>
          <t>ADNOC DRILLING CO PJSC COMMON STOCK AED</t>
        </is>
      </c>
      <c r="C74" s="18" t="n">
        <v>199406.45</v>
      </c>
      <c r="D74" s="19">
        <f>C74/$C$131</f>
        <v/>
      </c>
      <c r="E74" s="38" t="inlineStr">
        <is>
          <t>BN12D39</t>
        </is>
      </c>
    </row>
    <row r="75">
      <c r="A75" s="28" t="n">
        <v>6082</v>
      </c>
      <c r="B75" s="2" t="inlineStr">
        <is>
          <t>CO FOR COOPERATIVE INSURANCE/THE COMMON STOCK SAR 10</t>
        </is>
      </c>
      <c r="C75" s="18" t="n">
        <v>198103.42</v>
      </c>
      <c r="D75" s="19">
        <f>C75/$C$131</f>
        <v/>
      </c>
      <c r="E75" s="38" t="inlineStr">
        <is>
          <t>B128FN6</t>
        </is>
      </c>
    </row>
    <row r="76">
      <c r="A76" s="28" t="n">
        <v>32435</v>
      </c>
      <c r="B76" s="2" t="inlineStr">
        <is>
          <t>MOL HUNGARIAN OIL &amp; GAS PLC COMMON STOCK HUF 125</t>
        </is>
      </c>
      <c r="C76" s="18" t="n">
        <v>191988.19</v>
      </c>
      <c r="D76" s="19">
        <f>C76/$C$131</f>
        <v/>
      </c>
      <c r="E76" s="38" t="inlineStr">
        <is>
          <t>BD5ZXH8</t>
        </is>
      </c>
    </row>
    <row r="77">
      <c r="A77" s="28" t="n">
        <v>3863</v>
      </c>
      <c r="B77" s="2" t="inlineStr">
        <is>
          <t>ERSTE GROUP BANK AG COMMON STOCK EUR 0</t>
        </is>
      </c>
      <c r="C77" s="18" t="n">
        <v>191909.47</v>
      </c>
      <c r="D77" s="19">
        <f>C77/$C$131</f>
        <v/>
      </c>
      <c r="E77" s="38" t="inlineStr">
        <is>
          <t>5289837</t>
        </is>
      </c>
    </row>
    <row r="78">
      <c r="A78" s="41" t="n">
        <v>6309</v>
      </c>
      <c r="B78" s="2" t="inlineStr">
        <is>
          <t>RIYADH CABLES GROUP CO COMMON STOCK SAR 10</t>
        </is>
      </c>
      <c r="C78" s="33" t="n">
        <v>191689.17</v>
      </c>
      <c r="D78" s="19">
        <f>C78/$C$131</f>
        <v/>
      </c>
      <c r="E78" s="38" t="inlineStr">
        <is>
          <t>BNBPXW7</t>
        </is>
      </c>
    </row>
    <row r="79">
      <c r="A79" s="28" t="n">
        <v>1238</v>
      </c>
      <c r="B79" s="2" t="inlineStr">
        <is>
          <t>GRUPA KETY SA COMMON STOCK PLN 2.5</t>
        </is>
      </c>
      <c r="C79" s="18" t="n">
        <v>187489.92</v>
      </c>
      <c r="D79" s="19">
        <f>C79/$C$131</f>
        <v/>
      </c>
      <c r="E79" s="38" t="inlineStr">
        <is>
          <t>5216385</t>
        </is>
      </c>
    </row>
    <row r="80">
      <c r="A80" s="28" t="n">
        <v>196322</v>
      </c>
      <c r="B80" s="2" t="inlineStr">
        <is>
          <t>QATAR GAS TRANSPORT CO LTD COMMON STOCK QAR 1</t>
        </is>
      </c>
      <c r="C80" s="18" t="n">
        <v>186986.78</v>
      </c>
      <c r="D80" s="19">
        <f>C80/$C$131</f>
        <v/>
      </c>
      <c r="E80" s="38" t="inlineStr">
        <is>
          <t>B0MLBC9</t>
        </is>
      </c>
    </row>
    <row r="81">
      <c r="A81" s="28" t="n">
        <v>453680</v>
      </c>
      <c r="B81" s="2" t="inlineStr">
        <is>
          <t>TURKIYE SIGORTA AS COMMON STOCK TRY 1</t>
        </is>
      </c>
      <c r="C81" s="18" t="n">
        <v>182590.61</v>
      </c>
      <c r="D81" s="19">
        <f>C81/$C$131</f>
        <v/>
      </c>
      <c r="E81" s="38" t="inlineStr">
        <is>
          <t>B03MTD8</t>
        </is>
      </c>
    </row>
    <row r="82">
      <c r="A82" s="28" t="n">
        <v>2568</v>
      </c>
      <c r="B82" s="2" t="inlineStr">
        <is>
          <t>SAUDIA DAIRY &amp; FOODSTUFF CO COMMON STOCK SAR 10</t>
        </is>
      </c>
      <c r="C82" s="18" t="n">
        <v>182057.62</v>
      </c>
      <c r="D82" s="19">
        <f>C82/$C$131</f>
        <v/>
      </c>
      <c r="E82" s="38" t="inlineStr">
        <is>
          <t>B133P41</t>
        </is>
      </c>
    </row>
    <row r="83">
      <c r="A83" s="28" t="n">
        <v>9725</v>
      </c>
      <c r="B83" s="2" t="inlineStr">
        <is>
          <t>UNITED INTERNATIONAL TRANSPORTATION CO COMMON STOCK SAR 10</t>
        </is>
      </c>
      <c r="C83" s="18" t="n">
        <v>177788.23</v>
      </c>
      <c r="D83" s="19">
        <f>C83/$C$131</f>
        <v/>
      </c>
      <c r="E83" s="38" t="inlineStr">
        <is>
          <t>B2493D0</t>
        </is>
      </c>
    </row>
    <row r="84">
      <c r="A84" s="28" t="n">
        <v>4537</v>
      </c>
      <c r="B84" s="2" t="inlineStr">
        <is>
          <t>LEEJAM SPORTS CO JSC COMMON STOCK SAR 10</t>
        </is>
      </c>
      <c r="C84" s="18" t="n">
        <v>177374.4</v>
      </c>
      <c r="D84" s="19">
        <f>C84/$C$131</f>
        <v/>
      </c>
      <c r="E84" s="38" t="inlineStr">
        <is>
          <t>BF12ZV5</t>
        </is>
      </c>
    </row>
    <row r="85">
      <c r="A85" s="28" t="n">
        <v>182204</v>
      </c>
      <c r="B85" s="2" t="inlineStr">
        <is>
          <t>PARKIN CO PJSC COMMON STOCK AED 0.02</t>
        </is>
      </c>
      <c r="C85" s="18" t="n">
        <v>175658.78</v>
      </c>
      <c r="D85" s="19">
        <f>C85/$C$131</f>
        <v/>
      </c>
      <c r="E85" s="38" t="inlineStr">
        <is>
          <t>BRRGQF6</t>
        </is>
      </c>
    </row>
    <row r="86">
      <c r="A86" s="28" t="n">
        <v>5652</v>
      </c>
      <c r="B86" s="2" t="inlineStr">
        <is>
          <t>KOMERCNI BANKA AS COMMON STOCK CZK 100</t>
        </is>
      </c>
      <c r="C86" s="18" t="n">
        <v>168017.42</v>
      </c>
      <c r="D86" s="19">
        <f>C86/$C$131</f>
        <v/>
      </c>
      <c r="E86" s="38" t="inlineStr">
        <is>
          <t>4519449</t>
        </is>
      </c>
    </row>
    <row r="87">
      <c r="A87" s="28" t="n">
        <v>7008</v>
      </c>
      <c r="B87" s="2" t="inlineStr">
        <is>
          <t>SAUDI ARAMCO BASE OIL CO COMMON STOCK SAR 10</t>
        </is>
      </c>
      <c r="C87" s="18" t="n">
        <v>167815.5</v>
      </c>
      <c r="D87" s="19">
        <f>C87/$C$131</f>
        <v/>
      </c>
      <c r="E87" s="38" t="inlineStr">
        <is>
          <t>BMDKMB5</t>
        </is>
      </c>
    </row>
    <row r="88">
      <c r="A88" s="28" t="n">
        <v>7795</v>
      </c>
      <c r="B88" s="2" t="inlineStr">
        <is>
          <t>UNITED ELECTRONICS CO COMMON STOCK SAR</t>
        </is>
      </c>
      <c r="C88" s="18" t="n">
        <v>164081.24</v>
      </c>
      <c r="D88" s="19">
        <f>C88/$C$131</f>
        <v/>
      </c>
      <c r="E88" s="38" t="inlineStr">
        <is>
          <t>B4P2SD7</t>
        </is>
      </c>
    </row>
    <row r="89">
      <c r="A89" s="28" t="n">
        <v>1892</v>
      </c>
      <c r="B89" s="2" t="inlineStr">
        <is>
          <t>KRUK SA COMMON STOCK PLN 1</t>
        </is>
      </c>
      <c r="C89" s="18" t="n">
        <v>160955.58</v>
      </c>
      <c r="D89" s="19">
        <f>C89/$C$131</f>
        <v/>
      </c>
      <c r="E89" s="38" t="inlineStr">
        <is>
          <t>B4PTLY0</t>
        </is>
      </c>
    </row>
    <row r="90">
      <c r="A90" s="28" t="n">
        <v>50663</v>
      </c>
      <c r="B90" s="2" t="inlineStr">
        <is>
          <t>TUPRAS-TURKIYE PETROL RAFINE</t>
        </is>
      </c>
      <c r="C90" s="18" t="n">
        <v>160459.87</v>
      </c>
      <c r="D90" s="19">
        <f>C90/$C$131</f>
        <v/>
      </c>
      <c r="E90" s="38" t="inlineStr">
        <is>
          <t>B03MYT9</t>
        </is>
      </c>
    </row>
    <row r="91">
      <c r="A91" s="28" t="n">
        <v>8660</v>
      </c>
      <c r="B91" s="2" t="inlineStr">
        <is>
          <t>RAIFFEISEN BANK INTERNATIONAL AG COMMON STOCK EUR 0</t>
        </is>
      </c>
      <c r="C91" s="18" t="n">
        <v>158669.52</v>
      </c>
      <c r="D91" s="19">
        <f>C91/$C$131</f>
        <v/>
      </c>
      <c r="E91" s="38" t="inlineStr">
        <is>
          <t>B0704T9</t>
        </is>
      </c>
    </row>
    <row r="92">
      <c r="A92" s="28" t="n">
        <v>234111</v>
      </c>
      <c r="B92" s="2" t="inlineStr">
        <is>
          <t>TECOM GROUP PJSC COMMON STOCK AED 0.1</t>
        </is>
      </c>
      <c r="C92" s="18" t="n">
        <v>158503.76</v>
      </c>
      <c r="D92" s="19">
        <f>C92/$C$131</f>
        <v/>
      </c>
      <c r="E92" s="38" t="inlineStr">
        <is>
          <t>BLDC8Q1</t>
        </is>
      </c>
    </row>
    <row r="93">
      <c r="A93" s="28" t="n">
        <v>12548</v>
      </c>
      <c r="B93" s="2" t="inlineStr">
        <is>
          <t>HELLENIC TELECOMMUNICATIONS ORGANIZATION SA COMMON STOCK EUR 2.83</t>
        </is>
      </c>
      <c r="C93" s="18" t="n">
        <v>153270.6</v>
      </c>
      <c r="D93" s="19">
        <f>C93/$C$131</f>
        <v/>
      </c>
      <c r="E93" s="38" t="inlineStr">
        <is>
          <t>5051605</t>
        </is>
      </c>
    </row>
    <row r="94">
      <c r="A94" s="28" t="n">
        <v>53407</v>
      </c>
      <c r="B94" s="2" t="inlineStr">
        <is>
          <t>TURKIYE GARANTI BANKASI AS COMMON STOCK TRY 1</t>
        </is>
      </c>
      <c r="C94" s="18" t="n">
        <v>152607.22</v>
      </c>
      <c r="D94" s="19">
        <f>C94/$C$131</f>
        <v/>
      </c>
      <c r="E94" s="38" t="inlineStr">
        <is>
          <t>B03MYP5</t>
        </is>
      </c>
    </row>
    <row r="95">
      <c r="A95" s="28" t="n">
        <v>4593</v>
      </c>
      <c r="B95" s="2" t="inlineStr">
        <is>
          <t>ALKHORAYEF WATER &amp; POWER TECHNOLOGIES CO COMMON STOCK SAR 10</t>
        </is>
      </c>
      <c r="C95" s="18" t="n">
        <v>152560.18</v>
      </c>
      <c r="D95" s="19">
        <f>C95/$C$131</f>
        <v/>
      </c>
      <c r="E95" s="38" t="inlineStr">
        <is>
          <t>BN33QN1</t>
        </is>
      </c>
    </row>
    <row r="96">
      <c r="A96" s="28" t="n">
        <v>133931</v>
      </c>
      <c r="B96" s="2" t="inlineStr">
        <is>
          <t>ADNOC LOGISTICS &amp; SERVICES COMMON STOCK AED 1.983</t>
        </is>
      </c>
      <c r="C96" s="18" t="n">
        <v>152009.3</v>
      </c>
      <c r="D96" s="19">
        <f>C96/$C$131</f>
        <v/>
      </c>
      <c r="E96" s="38" t="inlineStr">
        <is>
          <t>BRBN103</t>
        </is>
      </c>
    </row>
    <row r="97">
      <c r="A97" s="28" t="n">
        <v>39150</v>
      </c>
      <c r="B97" s="2" t="inlineStr">
        <is>
          <t>ADES HOLDING CO COMMON STOCK SAR 1</t>
        </is>
      </c>
      <c r="C97" s="18" t="n">
        <v>150705.12</v>
      </c>
      <c r="D97" s="19">
        <f>C97/$C$131</f>
        <v/>
      </c>
      <c r="E97" s="38" t="inlineStr">
        <is>
          <t>BR56KM3</t>
        </is>
      </c>
    </row>
    <row r="98">
      <c r="A98" s="28" t="n">
        <v>39929</v>
      </c>
      <c r="B98" s="2" t="inlineStr">
        <is>
          <t>SASOL LTD COMMON STOCK ZAR 0</t>
        </is>
      </c>
      <c r="C98" s="18" t="n">
        <v>148866.21</v>
      </c>
      <c r="D98" s="19">
        <f>C98/$C$131</f>
        <v/>
      </c>
      <c r="E98" s="38" t="inlineStr">
        <is>
          <t>6777450</t>
        </is>
      </c>
    </row>
    <row r="99">
      <c r="A99" s="28" t="n">
        <v>3695</v>
      </c>
      <c r="B99" s="2" t="inlineStr">
        <is>
          <t>BUPA ARABIA FOR COOPERATIVE INSURANCE CO COMMON STOCK SAR 10</t>
        </is>
      </c>
      <c r="C99" s="18" t="n">
        <v>147469.15</v>
      </c>
      <c r="D99" s="19">
        <f>C99/$C$131</f>
        <v/>
      </c>
      <c r="E99" s="38" t="inlineStr">
        <is>
          <t>B2RLCR0</t>
        </is>
      </c>
    </row>
    <row r="100">
      <c r="A100" s="28" t="n">
        <v>1268490</v>
      </c>
      <c r="B100" s="2" t="inlineStr">
        <is>
          <t>NOVATEK PJSC COMMON STOCK RUB 0.1</t>
        </is>
      </c>
      <c r="C100" s="18" t="n">
        <v>131023.23</v>
      </c>
      <c r="D100" s="19">
        <f>C100/$C$131</f>
        <v/>
      </c>
      <c r="E100" s="38" t="inlineStr">
        <is>
          <t>X84C972</t>
        </is>
      </c>
    </row>
    <row r="101">
      <c r="A101" s="28" t="n">
        <v>103572</v>
      </c>
      <c r="B101" s="2" t="inlineStr">
        <is>
          <t>NOVATEK PJSC COMMON STOCK RUB 0.1</t>
        </is>
      </c>
      <c r="C101" s="18" t="n">
        <v>12799.36</v>
      </c>
      <c r="D101" s="19">
        <f>C101/$C$131</f>
        <v/>
      </c>
      <c r="E101" s="38" t="inlineStr">
        <is>
          <t>X84C970</t>
        </is>
      </c>
    </row>
    <row r="102">
      <c r="A102" s="28" t="n"/>
      <c r="B102" s="27" t="inlineStr">
        <is>
          <t>Subtotal</t>
        </is>
      </c>
      <c r="C102" s="29">
        <f>+C101+C100</f>
        <v/>
      </c>
      <c r="D102" s="31">
        <f>C102/$C$134</f>
        <v/>
      </c>
      <c r="E102" s="38" t="n"/>
    </row>
    <row r="103">
      <c r="A103" s="28" t="n">
        <v>30065</v>
      </c>
      <c r="B103" s="2" t="inlineStr">
        <is>
          <t>MOTUS HOLDINGS LTD COMMON STOCK ZAR</t>
        </is>
      </c>
      <c r="C103" s="18" t="n">
        <v>142663.03</v>
      </c>
      <c r="D103" s="19">
        <f>C103/$C$131</f>
        <v/>
      </c>
      <c r="E103" s="38" t="inlineStr">
        <is>
          <t>BDRN3H0</t>
        </is>
      </c>
    </row>
    <row r="104">
      <c r="A104" s="28" t="n">
        <v>6732</v>
      </c>
      <c r="B104" s="2" t="inlineStr">
        <is>
          <t>FORD OTOMOTIV SANAYI AS COMMON STOCK TRY 1</t>
        </is>
      </c>
      <c r="C104" s="18" t="n">
        <v>140456.55</v>
      </c>
      <c r="D104" s="19">
        <f>C104/$C$131</f>
        <v/>
      </c>
      <c r="E104" s="38" t="inlineStr">
        <is>
          <t>B03MSR5</t>
        </is>
      </c>
    </row>
    <row r="105">
      <c r="A105" s="28" t="n">
        <v>4570</v>
      </c>
      <c r="B105" s="2" t="inlineStr">
        <is>
          <t>ALDREES PETROLEUM AND TRANSPORT SERVICES CO COMMON STOCK SAR 10</t>
        </is>
      </c>
      <c r="C105" s="18" t="n">
        <v>139048.47</v>
      </c>
      <c r="D105" s="19">
        <f>C105/$C$131</f>
        <v/>
      </c>
      <c r="E105" s="38" t="inlineStr">
        <is>
          <t>B128FF8</t>
        </is>
      </c>
    </row>
    <row r="106">
      <c r="A106" s="28" t="n">
        <v>7119200</v>
      </c>
      <c r="B106" s="2" t="inlineStr">
        <is>
          <t>MMC NORILSK NICKEL PJSC COMMON STOCK RUB 1</t>
        </is>
      </c>
      <c r="C106" s="18" t="n">
        <v>138294.51</v>
      </c>
      <c r="D106" s="19">
        <f>C106/$C$131</f>
        <v/>
      </c>
      <c r="E106" s="38" t="inlineStr">
        <is>
          <t>X84C977</t>
        </is>
      </c>
    </row>
    <row r="107">
      <c r="A107" s="28" t="n">
        <v>30154</v>
      </c>
      <c r="B107" s="2" t="inlineStr">
        <is>
          <t>AVI LTD COMMON STOCK ZAR 5</t>
        </is>
      </c>
      <c r="C107" s="18" t="n">
        <v>128059.3</v>
      </c>
      <c r="D107" s="19">
        <f>C107/$C$131</f>
        <v/>
      </c>
      <c r="E107" s="38" t="inlineStr">
        <is>
          <t>6040958</t>
        </is>
      </c>
    </row>
    <row r="108">
      <c r="A108" s="28" t="n">
        <v>27608</v>
      </c>
      <c r="B108" s="2" t="inlineStr">
        <is>
          <t>BANCA TRANSILVANIA SA COMMON STOCK RON 1</t>
        </is>
      </c>
      <c r="C108" s="18" t="n">
        <v>127410.3</v>
      </c>
      <c r="D108" s="19">
        <f>C108/$C$131</f>
        <v/>
      </c>
      <c r="E108" s="38" t="inlineStr">
        <is>
          <t>5393307</t>
        </is>
      </c>
    </row>
    <row r="109">
      <c r="A109" s="28" t="n">
        <v>6774</v>
      </c>
      <c r="B109" s="2" t="inlineStr">
        <is>
          <t>JERONIMO MARTINS SGPS SA COMMON STOCK EUR 1</t>
        </is>
      </c>
      <c r="C109" s="18" t="n">
        <v>107962.19</v>
      </c>
      <c r="D109" s="19">
        <f>C109/$C$131</f>
        <v/>
      </c>
      <c r="E109" s="38" t="inlineStr">
        <is>
          <t>B1Y1SQ7</t>
        </is>
      </c>
    </row>
    <row r="110">
      <c r="A110" s="28" t="n">
        <v>2041744</v>
      </c>
      <c r="B110" s="2" t="inlineStr">
        <is>
          <t>ROSNEFT OIL CO PJSC COMMON STOCK RUB 0.01</t>
        </is>
      </c>
      <c r="C110" s="18" t="n">
        <v>61165.92</v>
      </c>
      <c r="D110" s="19">
        <f>C110/$C$131</f>
        <v/>
      </c>
      <c r="E110" s="38" t="inlineStr">
        <is>
          <t>X84C971</t>
        </is>
      </c>
    </row>
    <row r="111">
      <c r="A111" s="28" t="n">
        <v>1677948</v>
      </c>
      <c r="B111" s="2" t="inlineStr">
        <is>
          <t>ROSNEFT OIL CO PJSC COMMON STOCK RUB</t>
        </is>
      </c>
      <c r="C111" s="18" t="n">
        <v>42065.77</v>
      </c>
      <c r="D111" s="19">
        <f>C111/$C$131</f>
        <v/>
      </c>
      <c r="E111" s="38" t="inlineStr">
        <is>
          <t>X84D1F9</t>
        </is>
      </c>
    </row>
    <row r="112">
      <c r="A112" s="28" t="n"/>
      <c r="B112" s="27" t="inlineStr">
        <is>
          <t>Subtotal</t>
        </is>
      </c>
      <c r="C112" s="29">
        <f>+C111+C110</f>
        <v/>
      </c>
      <c r="D112" s="31">
        <f>C112/$C$134</f>
        <v/>
      </c>
      <c r="E112" s="38" t="n"/>
    </row>
    <row r="113">
      <c r="A113" s="28" t="n">
        <v>3781</v>
      </c>
      <c r="B113" s="2" t="inlineStr">
        <is>
          <t>MOTOR OIL HELLAS CORINTH REFINERIES SA COMMON STOCK EUR 0.75</t>
        </is>
      </c>
      <c r="C113" s="18" t="n">
        <v>67567.75</v>
      </c>
      <c r="D113" s="19">
        <f>C113/$C$131</f>
        <v/>
      </c>
      <c r="E113" s="38" t="inlineStr">
        <is>
          <t>5996234</t>
        </is>
      </c>
    </row>
    <row r="114">
      <c r="A114" s="28" t="n">
        <v>80000</v>
      </c>
      <c r="B114" s="2" t="inlineStr">
        <is>
          <t>JPM USD LIQUIDITY LVNAV X (DIST.)</t>
        </is>
      </c>
      <c r="C114" s="18" t="n">
        <v>64383.73</v>
      </c>
      <c r="D114" s="19">
        <f>C114/$C$131</f>
        <v/>
      </c>
      <c r="E114" s="38" t="inlineStr">
        <is>
          <t>7253766</t>
        </is>
      </c>
    </row>
    <row r="115">
      <c r="A115" s="28" t="n">
        <v>3657350</v>
      </c>
      <c r="B115" s="2" t="inlineStr">
        <is>
          <t>NOVOLIPETSK STEEL PJSC COMMON STOCK RUB</t>
        </is>
      </c>
      <c r="C115" s="18" t="n">
        <v>55817.12</v>
      </c>
      <c r="D115" s="19">
        <f>C115/$C$131</f>
        <v/>
      </c>
      <c r="E115" s="38" t="inlineStr">
        <is>
          <t>X84C97E</t>
        </is>
      </c>
    </row>
    <row r="116">
      <c r="A116" s="28" t="n">
        <v>180877</v>
      </c>
      <c r="B116" s="2" t="inlineStr">
        <is>
          <t>MAGNIT PJSC COMMON STOCK RUB 0.01</t>
        </is>
      </c>
      <c r="C116" s="18" t="n">
        <v>54538.42</v>
      </c>
      <c r="D116" s="19">
        <f>C116/$C$131</f>
        <v/>
      </c>
      <c r="E116" s="38" t="inlineStr">
        <is>
          <t>X8C505A</t>
        </is>
      </c>
    </row>
    <row r="117">
      <c r="A117" s="28" t="n">
        <v>1265335</v>
      </c>
      <c r="B117" s="2" t="inlineStr">
        <is>
          <t>GAZPROM NEFT PJSC COMMON STOCK RUB</t>
        </is>
      </c>
      <c r="C117" s="18" t="n">
        <v>49284.62</v>
      </c>
      <c r="D117" s="19">
        <f>C117/$C$131</f>
        <v/>
      </c>
      <c r="E117" s="38" t="inlineStr">
        <is>
          <t>X84D1F6</t>
        </is>
      </c>
    </row>
    <row r="118">
      <c r="A118" s="28" t="n">
        <v>730066</v>
      </c>
      <c r="B118" s="2" t="inlineStr">
        <is>
          <t>TATNEFT PJSC COMMON STOCK RUB</t>
        </is>
      </c>
      <c r="C118" s="18" t="n">
        <v>26653.95</v>
      </c>
      <c r="D118" s="19">
        <f>C118/$C$131</f>
        <v/>
      </c>
      <c r="E118" s="38" t="inlineStr">
        <is>
          <t>X84C973</t>
        </is>
      </c>
    </row>
    <row r="119">
      <c r="A119" s="28" t="n">
        <v>571359</v>
      </c>
      <c r="B119" s="2" t="inlineStr">
        <is>
          <t>TATNEFT PJSC PREFERENCE RUB 1</t>
        </is>
      </c>
      <c r="C119" s="18" t="n">
        <v>18472.75</v>
      </c>
      <c r="D119" s="19">
        <f>C119/$C$131</f>
        <v/>
      </c>
      <c r="E119" s="38" t="inlineStr">
        <is>
          <t>X8C6150</t>
        </is>
      </c>
    </row>
    <row r="120">
      <c r="A120" s="28" t="n"/>
      <c r="B120" s="27" t="inlineStr">
        <is>
          <t>Subtotal</t>
        </is>
      </c>
      <c r="C120" s="29">
        <f>+C119+C118</f>
        <v/>
      </c>
      <c r="D120" s="31">
        <f>C120/$C$134</f>
        <v/>
      </c>
      <c r="E120" s="38" t="n"/>
    </row>
    <row r="121">
      <c r="A121" s="46" t="n">
        <v>6156103</v>
      </c>
      <c r="B121" s="45" t="inlineStr">
        <is>
          <t>ROSTELECOM PJSC COMMON STOCK RUB</t>
        </is>
      </c>
      <c r="C121" s="47" t="n">
        <v>42513</v>
      </c>
      <c r="D121" s="19">
        <f>C121/$C$131</f>
        <v/>
      </c>
      <c r="E121" s="38" t="inlineStr">
        <is>
          <t>X84C978</t>
        </is>
      </c>
    </row>
    <row r="122">
      <c r="A122" s="46" t="n">
        <v>4246654</v>
      </c>
      <c r="B122" s="45" t="inlineStr">
        <is>
          <t>VTB BANK PJSC COMMON STOCK RUB 0.01</t>
        </is>
      </c>
      <c r="C122" s="47" t="n">
        <v>41354.08</v>
      </c>
      <c r="D122" s="19">
        <f>C122/$C$131</f>
        <v/>
      </c>
      <c r="E122" s="38" t="inlineStr">
        <is>
          <t>X8C6392</t>
        </is>
      </c>
    </row>
    <row r="123">
      <c r="A123" s="46" t="n">
        <v>29773</v>
      </c>
      <c r="B123" s="45" t="inlineStr">
        <is>
          <t>POLYUS PJSC COMMON STOCK RUB</t>
        </is>
      </c>
      <c r="C123" s="47" t="n">
        <v>26957.72</v>
      </c>
      <c r="D123" s="19">
        <f>C123/$C$131</f>
        <v/>
      </c>
      <c r="E123" s="38" t="inlineStr">
        <is>
          <t>X84D1F8</t>
        </is>
      </c>
    </row>
    <row r="124">
      <c r="A124" s="46" t="n">
        <v>432517</v>
      </c>
      <c r="B124" s="45" t="inlineStr">
        <is>
          <t>MD MEDICAL GROUP INVESTMENTS PLC GDR USD</t>
        </is>
      </c>
      <c r="C124" s="47" t="n">
        <v>19841.03</v>
      </c>
      <c r="D124" s="19">
        <f>C124/$C$131</f>
        <v/>
      </c>
      <c r="E124" s="38" t="inlineStr">
        <is>
          <t>X8C6397</t>
        </is>
      </c>
    </row>
    <row r="125">
      <c r="A125" s="46" t="n">
        <v>12313057</v>
      </c>
      <c r="B125" s="45" t="inlineStr">
        <is>
          <t>SISTEMA PJSFC COMMON STOCK RUB 0.09</t>
        </is>
      </c>
      <c r="C125" s="47" t="n">
        <v>14912.91</v>
      </c>
      <c r="D125" s="19">
        <f>C125/$C$131</f>
        <v/>
      </c>
      <c r="E125" s="38" t="inlineStr">
        <is>
          <t>X84D1F7</t>
        </is>
      </c>
    </row>
    <row r="126">
      <c r="A126" s="46" t="n">
        <v>577525</v>
      </c>
      <c r="B126" s="45" t="inlineStr">
        <is>
          <t>FIX PRICE GROUP LTD GDR</t>
        </is>
      </c>
      <c r="C126" s="47" t="n">
        <v>4369.03</v>
      </c>
      <c r="D126" s="19">
        <f>C126/$C$131</f>
        <v/>
      </c>
      <c r="E126" s="38" t="inlineStr">
        <is>
          <t>X84CF24</t>
        </is>
      </c>
    </row>
    <row r="127">
      <c r="A127" s="46" t="n">
        <v>75226</v>
      </c>
      <c r="B127" s="45" t="inlineStr">
        <is>
          <t>TCS GROUP HOLDING PLC GDR</t>
        </is>
      </c>
      <c r="C127" s="47" t="n">
        <v>1933.1</v>
      </c>
      <c r="D127" s="19">
        <f>C127/$C$131</f>
        <v/>
      </c>
      <c r="E127" s="38" t="inlineStr">
        <is>
          <t>X8C4FD3</t>
        </is>
      </c>
    </row>
    <row r="128">
      <c r="A128" s="46" t="n">
        <v>275182</v>
      </c>
      <c r="B128" s="45" t="inlineStr">
        <is>
          <t>X 5 RETAIL GROUP NV-REGS GDR</t>
        </is>
      </c>
      <c r="C128" s="47" t="n">
        <v>1176.87</v>
      </c>
      <c r="D128" s="19">
        <f>C128/$C$131</f>
        <v/>
      </c>
      <c r="E128" s="38" t="inlineStr">
        <is>
          <t>X8C4FD9</t>
        </is>
      </c>
    </row>
    <row r="129">
      <c r="A129" s="46" t="n">
        <v>552780</v>
      </c>
      <c r="B129" s="45" t="inlineStr">
        <is>
          <t>SEVERSTAL PAO GDR USD</t>
        </is>
      </c>
      <c r="C129" s="47" t="n">
        <v>267.37</v>
      </c>
      <c r="D129" s="19">
        <f>C129/$C$131</f>
        <v/>
      </c>
      <c r="E129" s="38" t="inlineStr">
        <is>
          <t>X84C975</t>
        </is>
      </c>
    </row>
    <row r="130">
      <c r="A130" s="28" t="n"/>
      <c r="B130" s="2" t="n"/>
      <c r="C130" s="18" t="n"/>
      <c r="D130" s="19" t="n"/>
      <c r="E130" s="38" t="n"/>
    </row>
    <row r="131">
      <c r="A131" s="28" t="n"/>
      <c r="B131" s="21" t="inlineStr">
        <is>
          <t>Total portfolio</t>
        </is>
      </c>
      <c r="C131" s="39">
        <f>SUM(C12:C39)+SUM(C41:C58)+SUM(C60:C68)+SUM(C70:C101)+SUM(C103:C111)+SUM(C113:C119)+SUM(C121:C129)</f>
        <v/>
      </c>
      <c r="D131" s="19">
        <f>C131/$C$134</f>
        <v/>
      </c>
      <c r="E131" s="20" t="n"/>
    </row>
    <row r="132">
      <c r="A132" s="28" t="n"/>
      <c r="B132" s="21" t="inlineStr">
        <is>
          <t>Net Current Assets</t>
        </is>
      </c>
      <c r="C132" s="39" t="n">
        <v>43032.64999999999</v>
      </c>
      <c r="D132" s="19">
        <f>C132/$C$134</f>
        <v/>
      </c>
      <c r="E132" s="20" t="n"/>
    </row>
    <row r="133">
      <c r="A133" s="28" t="n"/>
      <c r="B133" s="21" t="n"/>
      <c r="C133" s="39" t="n"/>
      <c r="D133" s="32" t="n"/>
      <c r="E133" s="20" t="n"/>
    </row>
    <row r="134">
      <c r="A134" s="17" t="n"/>
      <c r="B134" s="21"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137"/>
  <sheetViews>
    <sheetView topLeftCell="A111" workbookViewId="0">
      <selection activeCell="B131" sqref="B131"/>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December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712630.87</v>
      </c>
      <c r="D12" s="19">
        <f>C12/$C$130</f>
        <v/>
      </c>
      <c r="E12" s="20" t="inlineStr">
        <is>
          <t>B12LZH9</t>
        </is>
      </c>
    </row>
    <row r="13">
      <c r="A13" s="41" t="n">
        <v>3218</v>
      </c>
      <c r="B13" s="2" t="inlineStr">
        <is>
          <t>NASPERS LTD COMMON STOCK ZAR 2</t>
        </is>
      </c>
      <c r="C13" s="18" t="n">
        <v>568253.8100000001</v>
      </c>
      <c r="D13" s="19">
        <f>C13/$C$130</f>
        <v/>
      </c>
      <c r="E13" s="20" t="inlineStr">
        <is>
          <t>BN0VX82</t>
        </is>
      </c>
    </row>
    <row r="14">
      <c r="A14" s="41" t="n">
        <v>142756</v>
      </c>
      <c r="B14" s="2" t="inlineStr">
        <is>
          <t>QATAR NATIONAL BANK QPSC COMMON STOCK QAR 1</t>
        </is>
      </c>
      <c r="C14" s="18" t="n">
        <v>535962.48</v>
      </c>
      <c r="D14" s="19">
        <f>C14/$C$130</f>
        <v/>
      </c>
      <c r="E14" s="20" t="inlineStr">
        <is>
          <t>6148197</t>
        </is>
      </c>
    </row>
    <row r="15">
      <c r="A15" s="41" t="n">
        <v>181376</v>
      </c>
      <c r="B15" s="45" t="inlineStr">
        <is>
          <t>EMAAR PROPERTIES PJSC COMMON STOCK AED 1</t>
        </is>
      </c>
      <c r="C15" s="33" t="n">
        <v>506655.83</v>
      </c>
      <c r="D15" s="19">
        <f>C15/$C$130</f>
        <v/>
      </c>
      <c r="E15" s="20" t="inlineStr">
        <is>
          <t>B01RM25</t>
        </is>
      </c>
    </row>
    <row r="16">
      <c r="A16" s="41" t="n">
        <v>143349</v>
      </c>
      <c r="B16" s="2" t="inlineStr">
        <is>
          <t>FIRSTRAND LTD COMMON STOCK ZAR 1</t>
        </is>
      </c>
      <c r="C16" s="18" t="n">
        <v>460749.28</v>
      </c>
      <c r="D16" s="19">
        <f>C16/$C$130</f>
        <v/>
      </c>
      <c r="E16" s="20" t="inlineStr">
        <is>
          <t>6606996</t>
        </is>
      </c>
    </row>
    <row r="17">
      <c r="A17" s="41" t="n">
        <v>73566</v>
      </c>
      <c r="B17" s="2" t="inlineStr">
        <is>
          <t>SAUDI ARABIAN OIL CO COMMON STOCK SAR</t>
        </is>
      </c>
      <c r="C17" s="18" t="n">
        <v>437728.36</v>
      </c>
      <c r="D17" s="19">
        <f>C17/$C$130</f>
        <v/>
      </c>
      <c r="E17" s="20" t="inlineStr">
        <is>
          <t>BJTM270</t>
        </is>
      </c>
    </row>
    <row r="18">
      <c r="A18" s="41" t="n">
        <v>8780</v>
      </c>
      <c r="B18" s="2" t="inlineStr">
        <is>
          <t>OTP BANK NYRT COMMON STOCK HUF 100</t>
        </is>
      </c>
      <c r="C18" s="33" t="n">
        <v>384354.6</v>
      </c>
      <c r="D18" s="19">
        <f>C18/$C$130</f>
        <v/>
      </c>
      <c r="E18" s="20" t="inlineStr">
        <is>
          <t>7320154</t>
        </is>
      </c>
    </row>
    <row r="19">
      <c r="A19" s="41" t="n">
        <v>40265</v>
      </c>
      <c r="B19" s="2" t="inlineStr">
        <is>
          <t>STANDARD BANK GROUP LTD COMMON STOCK ZAR 10</t>
        </is>
      </c>
      <c r="C19" s="33" t="n">
        <v>377829.58</v>
      </c>
      <c r="D19" s="19">
        <f>C19/$C$130</f>
        <v/>
      </c>
      <c r="E19" s="20" t="inlineStr">
        <is>
          <t>B030GJ7</t>
        </is>
      </c>
    </row>
    <row r="20">
      <c r="A20" s="41" t="n">
        <v>51456</v>
      </c>
      <c r="B20" s="2" t="inlineStr">
        <is>
          <t>THE SAUDI NATIONAL BANK</t>
        </is>
      </c>
      <c r="C20" s="18" t="n">
        <v>365217.85</v>
      </c>
      <c r="D20" s="19">
        <f>C20/$C$130</f>
        <v/>
      </c>
      <c r="E20" s="20" t="inlineStr">
        <is>
          <t>BSHYYN1</t>
        </is>
      </c>
    </row>
    <row r="21">
      <c r="A21" s="41" t="n">
        <v>78089</v>
      </c>
      <c r="B21" s="2" t="inlineStr">
        <is>
          <t>EMIRATES NBD BANK PJSC COMMON STOCK AED 1</t>
        </is>
      </c>
      <c r="C21" s="18" t="n">
        <v>360727.2</v>
      </c>
      <c r="D21" s="19">
        <f>C21/$C$130</f>
        <v/>
      </c>
      <c r="E21" s="20" t="inlineStr">
        <is>
          <t>B28PFX8</t>
        </is>
      </c>
    </row>
    <row r="22">
      <c r="A22" s="41" t="n">
        <v>29624</v>
      </c>
      <c r="B22" s="2" t="inlineStr">
        <is>
          <t>POWSZECHNA KASA OSZCZEDNOSCI BANK POLSKI SA COMMON STOCK PLN 1</t>
        </is>
      </c>
      <c r="C22" s="18" t="n">
        <v>342214.25</v>
      </c>
      <c r="D22" s="19">
        <f>C22/$C$130</f>
        <v/>
      </c>
      <c r="E22" s="20" t="inlineStr">
        <is>
          <t>B03NGS5</t>
        </is>
      </c>
    </row>
    <row r="23">
      <c r="A23" s="41" t="n">
        <v>22007</v>
      </c>
      <c r="B23" s="2" t="inlineStr">
        <is>
          <t>HALYK SAVINGS BANK OF KAZAKHSTAN JSC GDR USD</t>
        </is>
      </c>
      <c r="C23" s="18" t="n">
        <v>341597</v>
      </c>
      <c r="D23" s="19">
        <f>C23/$C$130</f>
        <v/>
      </c>
      <c r="E23" s="20" t="inlineStr">
        <is>
          <t>B1KDG41</t>
        </is>
      </c>
    </row>
    <row r="24">
      <c r="A24" s="41" t="n">
        <v>148768</v>
      </c>
      <c r="B24" s="2" t="inlineStr">
        <is>
          <t>ABU DHABI COMMERCIAL BANK PJSC COMMON STOCK AED 1</t>
        </is>
      </c>
      <c r="C24" s="18" t="n">
        <v>331808.1</v>
      </c>
      <c r="D24" s="19">
        <f>C24/$C$130</f>
        <v/>
      </c>
      <c r="E24" s="20" t="inlineStr">
        <is>
          <t>6545464</t>
        </is>
      </c>
    </row>
    <row r="25">
      <c r="A25" s="41" t="n">
        <v>54728</v>
      </c>
      <c r="B25" s="2" t="inlineStr">
        <is>
          <t>RIYAD BANK COMMON STOCK SAR 10</t>
        </is>
      </c>
      <c r="C25" s="18" t="n">
        <v>331454.52</v>
      </c>
      <c r="D25" s="19">
        <f>C25/$C$130</f>
        <v/>
      </c>
      <c r="E25" s="20" t="inlineStr">
        <is>
          <t>B12LZW4</t>
        </is>
      </c>
    </row>
    <row r="26">
      <c r="A26" s="41" t="n">
        <v>31177</v>
      </c>
      <c r="B26" s="2" t="inlineStr">
        <is>
          <t>GOLD FIELDS LTD COMMON STOCK ZAR 50</t>
        </is>
      </c>
      <c r="C26" s="18" t="n">
        <v>325848.94</v>
      </c>
      <c r="D26" s="19">
        <f>C26/$C$130</f>
        <v/>
      </c>
      <c r="E26" s="20" t="inlineStr">
        <is>
          <t>6280215</t>
        </is>
      </c>
    </row>
    <row r="27">
      <c r="A27" s="41" t="n">
        <v>190207</v>
      </c>
      <c r="B27" s="2" t="inlineStr">
        <is>
          <t>ALDAR PROPERTIES PJSC COMMON STOCK AED 1</t>
        </is>
      </c>
      <c r="C27" s="18" t="n">
        <v>317554.17</v>
      </c>
      <c r="D27" s="19">
        <f>C27/$C$130</f>
        <v/>
      </c>
      <c r="E27" s="20" t="inlineStr">
        <is>
          <t>B0LX3Y2</t>
        </is>
      </c>
    </row>
    <row r="28">
      <c r="A28" s="41" t="n">
        <v>15105</v>
      </c>
      <c r="B28" s="2" t="inlineStr">
        <is>
          <t>NOVA LJUBLJANSKA BANKA DD GDR EUR</t>
        </is>
      </c>
      <c r="C28" s="18" t="n">
        <v>310976.18</v>
      </c>
      <c r="D28" s="19">
        <f>C28/$C$130</f>
        <v/>
      </c>
      <c r="E28" s="20" t="inlineStr">
        <is>
          <t>BGRPD22</t>
        </is>
      </c>
    </row>
    <row r="29">
      <c r="A29" s="41" t="n">
        <v>49901</v>
      </c>
      <c r="B29" s="2" t="inlineStr">
        <is>
          <t>ALINMA BANK COMMON STOCK SAR 10</t>
        </is>
      </c>
      <c r="C29" s="18" t="n">
        <v>306992.19</v>
      </c>
      <c r="D29" s="19">
        <f>C29/$C$130</f>
        <v/>
      </c>
      <c r="E29" s="20" t="inlineStr">
        <is>
          <t>B39NWT3</t>
        </is>
      </c>
    </row>
    <row r="30">
      <c r="A30" s="41" t="n">
        <v>1247</v>
      </c>
      <c r="B30" s="2" t="inlineStr">
        <is>
          <t>ELM CO COMMON STOCK SAR 10</t>
        </is>
      </c>
      <c r="C30" s="18" t="n">
        <v>295468.26</v>
      </c>
      <c r="D30" s="19">
        <f>C30/$C$130</f>
        <v/>
      </c>
      <c r="E30" s="20" t="inlineStr">
        <is>
          <t>BNYDSH8</t>
        </is>
      </c>
    </row>
    <row r="31">
      <c r="A31" s="41" t="n">
        <v>9790</v>
      </c>
      <c r="B31" s="2" t="inlineStr">
        <is>
          <t>NAC KAZATOMPROM JSC GDR USD</t>
        </is>
      </c>
      <c r="C31" s="18" t="n">
        <v>294700.57</v>
      </c>
      <c r="D31" s="19">
        <f>C31/$C$130</f>
        <v/>
      </c>
      <c r="E31" s="20" t="inlineStr">
        <is>
          <t>BGXQL36</t>
        </is>
      </c>
    </row>
    <row r="32">
      <c r="A32" s="41" t="n">
        <v>6209</v>
      </c>
      <c r="B32" s="2" t="inlineStr">
        <is>
          <t>BANK OF GEORGIA GROUP PLC COMMON STOCK GBP 1</t>
        </is>
      </c>
      <c r="C32" s="18" t="n">
        <v>292443.9</v>
      </c>
      <c r="D32" s="19">
        <f>C32/$C$130</f>
        <v/>
      </c>
      <c r="E32" s="20" t="inlineStr">
        <is>
          <t>BF4HYT8</t>
        </is>
      </c>
    </row>
    <row r="33">
      <c r="A33" s="41" t="n">
        <v>9176</v>
      </c>
      <c r="B33" s="2" t="inlineStr">
        <is>
          <t>TBC BANK GROUP PLC COMMON STOCK GBP 1</t>
        </is>
      </c>
      <c r="C33" s="18" t="n">
        <v>286291.2</v>
      </c>
      <c r="D33" s="19">
        <f>C33/$C$130</f>
        <v/>
      </c>
      <c r="E33" s="20" t="inlineStr">
        <is>
          <t>BYT1830</t>
        </is>
      </c>
    </row>
    <row r="34">
      <c r="A34" s="41" t="n">
        <v>35367</v>
      </c>
      <c r="B34" s="2" t="inlineStr">
        <is>
          <t>ABSA GROUP LTD</t>
        </is>
      </c>
      <c r="C34" s="18" t="n">
        <v>283965.15</v>
      </c>
      <c r="D34" s="19">
        <f>C34/$C$130</f>
        <v/>
      </c>
      <c r="E34" s="20" t="inlineStr">
        <is>
          <t>BFX05H3</t>
        </is>
      </c>
    </row>
    <row r="35">
      <c r="A35" s="41" t="n">
        <v>44742</v>
      </c>
      <c r="B35" s="2" t="inlineStr">
        <is>
          <t>NATIONAL BANK OF GREECE SA COMMON STOCK EUR 1</t>
        </is>
      </c>
      <c r="C35" s="18" t="n">
        <v>283294.28</v>
      </c>
      <c r="D35" s="19">
        <f>C35/$C$130</f>
        <v/>
      </c>
      <c r="E35" s="20" t="inlineStr">
        <is>
          <t>BG087C6</t>
        </is>
      </c>
    </row>
    <row r="36">
      <c r="A36" s="41" t="n">
        <v>458472</v>
      </c>
      <c r="B36" s="2" t="inlineStr">
        <is>
          <t>DUBAI ELECTRICITY &amp; WATER AU</t>
        </is>
      </c>
      <c r="C36" s="18" t="n">
        <v>282052.11</v>
      </c>
      <c r="D36" s="19">
        <f>C36/$C$130</f>
        <v/>
      </c>
      <c r="E36" s="20" t="inlineStr">
        <is>
          <t>BJLTVJ4</t>
        </is>
      </c>
    </row>
    <row r="37">
      <c r="A37" s="41" t="n">
        <v>3703</v>
      </c>
      <c r="B37" s="2" t="inlineStr">
        <is>
          <t>JSC KASPI.KZ GDR-REG S</t>
        </is>
      </c>
      <c r="C37" s="18" t="n">
        <v>280031.24</v>
      </c>
      <c r="D37" s="19">
        <f>C37/$C$130</f>
        <v/>
      </c>
      <c r="E37" s="20" t="inlineStr">
        <is>
          <t>BJY21K1</t>
        </is>
      </c>
    </row>
    <row r="38">
      <c r="A38" s="41" t="n">
        <v>362649</v>
      </c>
      <c r="B38" s="2" t="inlineStr">
        <is>
          <t>LUKOIL PJSC COMMON STOCK RUB 0.025 RUB</t>
        </is>
      </c>
      <c r="C38" s="18" t="n">
        <v>135969.4</v>
      </c>
      <c r="D38" s="19">
        <f>C38/$C$130</f>
        <v/>
      </c>
      <c r="E38" s="20" t="inlineStr">
        <is>
          <t>X84C974</t>
        </is>
      </c>
    </row>
    <row r="39">
      <c r="A39" s="41" t="n">
        <v>262047</v>
      </c>
      <c r="B39" s="2" t="inlineStr">
        <is>
          <t>LUKOIL PJSC COMMON STOCK RUB</t>
        </is>
      </c>
      <c r="C39" s="18" t="n">
        <v>130477.77</v>
      </c>
      <c r="D39" s="19">
        <f>C39/$C$130</f>
        <v/>
      </c>
      <c r="E39" s="20" t="inlineStr">
        <is>
          <t>X84D1F5</t>
        </is>
      </c>
    </row>
    <row r="40">
      <c r="A40" s="28" t="n"/>
      <c r="B40" s="27" t="inlineStr">
        <is>
          <t>Subtotal</t>
        </is>
      </c>
      <c r="C40" s="29">
        <f>+C39+C38</f>
        <v/>
      </c>
      <c r="D40" s="31">
        <f>C40/$C$133</f>
        <v/>
      </c>
      <c r="E40" s="20" t="n"/>
    </row>
    <row r="41">
      <c r="A41" s="28" t="n">
        <v>88181</v>
      </c>
      <c r="B41" s="2" t="inlineStr">
        <is>
          <t>ABU DHABI ISLAMIC BANK PJSC COMMON STOCK AED 1</t>
        </is>
      </c>
      <c r="C41" s="18" t="n">
        <v>264535.65</v>
      </c>
      <c r="D41" s="19">
        <f>C41/$C$130</f>
        <v/>
      </c>
      <c r="E41" s="20" t="inlineStr">
        <is>
          <t>6001728</t>
        </is>
      </c>
    </row>
    <row r="42">
      <c r="A42" s="28" t="n">
        <v>85774</v>
      </c>
      <c r="B42" s="2" t="inlineStr">
        <is>
          <t>EMAAR DEVELOPMENT PJSC COMMON STOCK AED 1</t>
        </is>
      </c>
      <c r="C42" s="18" t="n">
        <v>255450.25</v>
      </c>
      <c r="D42" s="19">
        <f>C42/$C$130</f>
        <v/>
      </c>
      <c r="E42" s="20" t="inlineStr">
        <is>
          <t>BDG1977</t>
        </is>
      </c>
    </row>
    <row r="43">
      <c r="A43" s="28" t="n">
        <v>19991</v>
      </c>
      <c r="B43" s="2" t="inlineStr">
        <is>
          <t>SHOPRITE HOLDINGS LTD COMMON STOCK ZAR 113.4</t>
        </is>
      </c>
      <c r="C43" s="18" t="n">
        <v>249117.86</v>
      </c>
      <c r="D43" s="19">
        <f>C43/$C$130</f>
        <v/>
      </c>
      <c r="E43" s="20" t="inlineStr">
        <is>
          <t>6801575</t>
        </is>
      </c>
    </row>
    <row r="44">
      <c r="A44" s="28" t="n">
        <v>19988</v>
      </c>
      <c r="B44" s="2" t="inlineStr">
        <is>
          <t>BIM BIRLESIK MAGAZALAR AS COMMON STOCK TRY 1</t>
        </is>
      </c>
      <c r="C44" s="18" t="n">
        <v>238309.75</v>
      </c>
      <c r="D44" s="19">
        <f>C44/$C$130</f>
        <v/>
      </c>
      <c r="E44" s="20" t="inlineStr">
        <is>
          <t>B0D0006</t>
        </is>
      </c>
    </row>
    <row r="45">
      <c r="A45" s="28" t="n">
        <v>11178</v>
      </c>
      <c r="B45" s="2" t="inlineStr">
        <is>
          <t>RICHTER GEDEON NYRT COMMON STOCK HUF 100</t>
        </is>
      </c>
      <c r="C45" s="18" t="n">
        <v>235228.79</v>
      </c>
      <c r="D45" s="19">
        <f>C45/$C$130</f>
        <v/>
      </c>
      <c r="E45" s="20" t="inlineStr">
        <is>
          <t>BC9ZH86</t>
        </is>
      </c>
    </row>
    <row r="46">
      <c r="A46" s="28" t="n">
        <v>112308</v>
      </c>
      <c r="B46" s="2" t="inlineStr">
        <is>
          <t>TURKCELL ILETISIM HIZMET AS</t>
        </is>
      </c>
      <c r="C46" s="18" t="n">
        <v>235213.99</v>
      </c>
      <c r="D46" s="19">
        <f>C46/$C$130</f>
        <v/>
      </c>
      <c r="E46" s="20" t="inlineStr">
        <is>
          <t>B03MYN3</t>
        </is>
      </c>
    </row>
    <row r="47">
      <c r="A47" s="28" t="n">
        <v>127190</v>
      </c>
      <c r="B47" s="2" t="inlineStr">
        <is>
          <t>EUROBANK ERGASIAS SERVICES AND HOLDINGS SA COMMON STOCK EUR 0.22</t>
        </is>
      </c>
      <c r="C47" s="18" t="n">
        <v>234511.89</v>
      </c>
      <c r="D47" s="19">
        <f>C47/$C$130</f>
        <v/>
      </c>
      <c r="E47" s="20" t="inlineStr">
        <is>
          <t>BYZ43T4</t>
        </is>
      </c>
    </row>
    <row r="48">
      <c r="A48" s="28" t="n">
        <v>56454</v>
      </c>
      <c r="B48" s="2" t="inlineStr">
        <is>
          <t>MONETA MONEY BANK AS COMMON STOCK CZK 20</t>
        </is>
      </c>
      <c r="C48" s="18" t="n">
        <v>229907.72</v>
      </c>
      <c r="D48" s="19">
        <f>C48/$C$130</f>
        <v/>
      </c>
      <c r="E48" s="20" t="inlineStr">
        <is>
          <t>BD3CQ16</t>
        </is>
      </c>
    </row>
    <row r="49">
      <c r="A49" s="28" t="n">
        <v>156965</v>
      </c>
      <c r="B49" s="2" t="inlineStr">
        <is>
          <t>AKBANK TAS COMMON STOCK TRY 1</t>
        </is>
      </c>
      <c r="C49" s="18" t="n">
        <v>229853.62</v>
      </c>
      <c r="D49" s="19">
        <f>C49/$C$130</f>
        <v/>
      </c>
      <c r="E49" s="20" t="inlineStr">
        <is>
          <t>B03MN70</t>
        </is>
      </c>
    </row>
    <row r="50">
      <c r="A50" s="28" t="n">
        <v>8860909</v>
      </c>
      <c r="B50" s="2" t="inlineStr">
        <is>
          <t>GAZPROM PJSC COMMON STOCK RUB</t>
        </is>
      </c>
      <c r="C50" s="18" t="n">
        <v>203755.63</v>
      </c>
      <c r="D50" s="19">
        <f>C50/$C$130</f>
        <v/>
      </c>
      <c r="E50" s="20" t="inlineStr">
        <is>
          <t>X8C529A</t>
        </is>
      </c>
    </row>
    <row r="51">
      <c r="A51" s="28" t="n">
        <v>5365084</v>
      </c>
      <c r="B51" s="2" t="inlineStr">
        <is>
          <t>GAZPROM PJSC ADR</t>
        </is>
      </c>
      <c r="C51" s="18" t="n">
        <v>24906.26</v>
      </c>
      <c r="D51" s="19">
        <f>C51/$C$130</f>
        <v/>
      </c>
      <c r="E51" s="20" t="inlineStr">
        <is>
          <t>X84C976</t>
        </is>
      </c>
    </row>
    <row r="52">
      <c r="A52" s="28" t="n"/>
      <c r="B52" s="27" t="inlineStr">
        <is>
          <t>Subtotal</t>
        </is>
      </c>
      <c r="C52" s="29">
        <f>+C51+C50</f>
        <v/>
      </c>
      <c r="D52" s="31">
        <f>C52/$C$133</f>
        <v/>
      </c>
      <c r="E52" s="38" t="n"/>
    </row>
    <row r="53">
      <c r="A53" s="41" t="n">
        <v>24898</v>
      </c>
      <c r="B53" s="2" t="inlineStr">
        <is>
          <t>SARANTIS SA EUR1.53</t>
        </is>
      </c>
      <c r="C53" s="18" t="n">
        <v>223975.44</v>
      </c>
      <c r="D53" s="19">
        <f>C53/$C$130</f>
        <v/>
      </c>
      <c r="E53" s="38" t="inlineStr">
        <is>
          <t>7124958</t>
        </is>
      </c>
    </row>
    <row r="54">
      <c r="A54" s="41" t="n">
        <v>144384</v>
      </c>
      <c r="B54" s="2" t="inlineStr">
        <is>
          <t>DUBAI ISLAMIC BANK PJSC COMMON STOCK AED 1</t>
        </is>
      </c>
      <c r="C54" s="18" t="n">
        <v>222219.63</v>
      </c>
      <c r="D54" s="19">
        <f>C54/$C$130</f>
        <v/>
      </c>
      <c r="E54" s="38" t="inlineStr">
        <is>
          <t>6283452</t>
        </is>
      </c>
    </row>
    <row r="55">
      <c r="A55" s="41" t="n">
        <v>10435</v>
      </c>
      <c r="B55" s="2" t="inlineStr">
        <is>
          <t>JUMBO SA COMMON STOCK EUR 0.88</t>
        </is>
      </c>
      <c r="C55" s="18" t="n">
        <v>219145.83</v>
      </c>
      <c r="D55" s="19">
        <f>C55/$C$130</f>
        <v/>
      </c>
      <c r="E55" s="38" t="inlineStr">
        <is>
          <t>7243530</t>
        </is>
      </c>
    </row>
    <row r="56">
      <c r="A56" s="41" t="n">
        <v>392</v>
      </c>
      <c r="B56" s="2" t="inlineStr">
        <is>
          <t>BENEFIT SYSTEMS SA COMMON STOCK PLN 1</t>
        </is>
      </c>
      <c r="C56" s="18" t="n">
        <v>218233.97</v>
      </c>
      <c r="D56" s="19">
        <f>C56/$C$130</f>
        <v/>
      </c>
      <c r="E56" s="38" t="inlineStr">
        <is>
          <t>B4XY9X2</t>
        </is>
      </c>
    </row>
    <row r="57">
      <c r="A57" s="41" t="n">
        <v>71</v>
      </c>
      <c r="B57" s="2" t="inlineStr">
        <is>
          <t>LPP SA COMMON STOCK PLN 2</t>
        </is>
      </c>
      <c r="C57" s="18" t="n">
        <v>213418.73</v>
      </c>
      <c r="D57" s="19">
        <f>C57/$C$130</f>
        <v/>
      </c>
      <c r="E57" s="38" t="inlineStr">
        <is>
          <t>7127979</t>
        </is>
      </c>
    </row>
    <row r="58">
      <c r="A58" s="41" t="n">
        <v>14455036</v>
      </c>
      <c r="B58" s="2" t="inlineStr">
        <is>
          <t>SBERBANK OF RUSSIA PJSC PREFERENCE RUB 3</t>
        </is>
      </c>
      <c r="C58" s="18" t="n">
        <v>183361.51</v>
      </c>
      <c r="D58" s="19">
        <f>C58/$C$130</f>
        <v/>
      </c>
      <c r="E58" s="38" t="inlineStr">
        <is>
          <t>X8C6155</t>
        </is>
      </c>
    </row>
    <row r="59">
      <c r="A59" s="41" t="n">
        <v>2355925</v>
      </c>
      <c r="B59" s="2" t="inlineStr">
        <is>
          <t>SBERBANK OF RUSSIA PJSC</t>
        </is>
      </c>
      <c r="C59" s="18" t="n">
        <v>29668.82</v>
      </c>
      <c r="D59" s="19">
        <f>C59/$C$130</f>
        <v/>
      </c>
      <c r="E59" s="38" t="inlineStr">
        <is>
          <t>X8C6398</t>
        </is>
      </c>
    </row>
    <row r="60">
      <c r="A60" s="41" t="n"/>
      <c r="B60" s="27" t="inlineStr">
        <is>
          <t>Subtotal</t>
        </is>
      </c>
      <c r="C60" s="29">
        <f>+C59+C58</f>
        <v/>
      </c>
      <c r="D60" s="31">
        <f>C60/$C$133</f>
        <v/>
      </c>
      <c r="E60" s="38" t="n"/>
    </row>
    <row r="61">
      <c r="A61" s="28" t="n">
        <v>24635</v>
      </c>
      <c r="B61" s="2" t="inlineStr">
        <is>
          <t>SAUDI TELECOM CO COMMON STOCK</t>
        </is>
      </c>
      <c r="C61" s="18" t="n">
        <v>209402.6</v>
      </c>
      <c r="D61" s="19">
        <f>C61/$C$130</f>
        <v/>
      </c>
      <c r="E61" s="38" t="inlineStr">
        <is>
          <t>B12M7Q5</t>
        </is>
      </c>
    </row>
    <row r="62">
      <c r="A62" s="28" t="n">
        <v>7396</v>
      </c>
      <c r="B62" s="2" t="inlineStr">
        <is>
          <t>METLEN ENERGY &amp; METALS SA COMMON STOCK EUR 0.97</t>
        </is>
      </c>
      <c r="C62" s="18" t="n">
        <v>204978.33</v>
      </c>
      <c r="D62" s="19">
        <f>C62/$C$130</f>
        <v/>
      </c>
      <c r="E62" s="38" t="inlineStr">
        <is>
          <t>5898664</t>
        </is>
      </c>
    </row>
    <row r="63">
      <c r="A63" s="28" t="n">
        <v>23041</v>
      </c>
      <c r="B63" s="2" t="inlineStr">
        <is>
          <t>POWSZECHNY ZAKLAD UBEZPIECZEN SA COMMON STOCK PLN 0.1</t>
        </is>
      </c>
      <c r="C63" s="18" t="n">
        <v>204168.97</v>
      </c>
      <c r="D63" s="19">
        <f>C63/$C$130</f>
        <v/>
      </c>
      <c r="E63" s="38" t="inlineStr">
        <is>
          <t>B63DG21</t>
        </is>
      </c>
    </row>
    <row r="64">
      <c r="A64" s="28" t="n">
        <v>44002</v>
      </c>
      <c r="B64" s="2" t="inlineStr">
        <is>
          <t>ARABIAN CENTRES CO COMMON STOCK SAR 10</t>
        </is>
      </c>
      <c r="C64" s="18" t="n">
        <v>202722.15</v>
      </c>
      <c r="D64" s="19">
        <f>C64/$C$130</f>
        <v/>
      </c>
      <c r="E64" s="38" t="inlineStr">
        <is>
          <t>BKBF694</t>
        </is>
      </c>
    </row>
    <row r="65">
      <c r="A65" s="28" t="n">
        <v>63663</v>
      </c>
      <c r="B65" s="2" t="inlineStr">
        <is>
          <t>PIRAEUS FINANCIAL HOLDINGS SA COMMON STOCK EUR 0.93</t>
        </is>
      </c>
      <c r="C65" s="18" t="n">
        <v>202653.86</v>
      </c>
      <c r="D65" s="19">
        <f>C65/$C$130</f>
        <v/>
      </c>
      <c r="E65" s="38" t="inlineStr">
        <is>
          <t>BNC0DB0</t>
        </is>
      </c>
    </row>
    <row r="66">
      <c r="A66" s="28" t="n">
        <v>18156</v>
      </c>
      <c r="B66" s="2" t="inlineStr">
        <is>
          <t>BIDVEST GROUP LTD COMMON STOCK ZAR 5</t>
        </is>
      </c>
      <c r="C66" s="18" t="n">
        <v>202565.71</v>
      </c>
      <c r="D66" s="19">
        <f>C66/$C$130</f>
        <v/>
      </c>
      <c r="E66" s="38" t="inlineStr">
        <is>
          <t>6100089</t>
        </is>
      </c>
    </row>
    <row r="67">
      <c r="A67" s="28" t="n">
        <v>31227</v>
      </c>
      <c r="B67" s="2" t="inlineStr">
        <is>
          <t>HARMONY GOLD MINING CO LTD COMMON STOCK ZAR 50</t>
        </is>
      </c>
      <c r="C67" s="18" t="n">
        <v>199099.84</v>
      </c>
      <c r="D67" s="19">
        <f>C67/$C$130</f>
        <v/>
      </c>
      <c r="E67" s="38" t="inlineStr">
        <is>
          <t>6410562</t>
        </is>
      </c>
    </row>
    <row r="68">
      <c r="A68" s="28" t="n">
        <v>169475</v>
      </c>
      <c r="B68" s="2" t="inlineStr">
        <is>
          <t>ADNOC DRILLING CO PJSC COMMON STOCK AED</t>
        </is>
      </c>
      <c r="C68" s="18" t="n">
        <v>195996.07</v>
      </c>
      <c r="D68" s="19">
        <f>C68/$C$130</f>
        <v/>
      </c>
      <c r="E68" s="38" t="inlineStr">
        <is>
          <t>BN12D39</t>
        </is>
      </c>
    </row>
    <row r="69">
      <c r="A69" s="41" t="n">
        <v>27398</v>
      </c>
      <c r="B69" s="2" t="inlineStr">
        <is>
          <t>SAUDI AWWAL BANK COMMON STOCK SAR 10</t>
        </is>
      </c>
      <c r="C69" s="33" t="n">
        <v>195917.59</v>
      </c>
      <c r="D69" s="19">
        <f>C69/$C$130</f>
        <v/>
      </c>
      <c r="E69" s="38" t="inlineStr">
        <is>
          <t>B12LSY7</t>
        </is>
      </c>
    </row>
    <row r="70">
      <c r="A70" s="28" t="n">
        <v>7292</v>
      </c>
      <c r="B70" s="2" t="inlineStr">
        <is>
          <t>BANK POLSKA KASA OPIEKI SA COMMON STOCK PLN 1</t>
        </is>
      </c>
      <c r="C70" s="18" t="n">
        <v>194381.41</v>
      </c>
      <c r="D70" s="19">
        <f>C70/$C$130</f>
        <v/>
      </c>
      <c r="E70" s="38" t="inlineStr">
        <is>
          <t>5473113</t>
        </is>
      </c>
    </row>
    <row r="71">
      <c r="A71" s="28" t="n">
        <v>145289</v>
      </c>
      <c r="B71" s="2" t="inlineStr">
        <is>
          <t>ALPHA SERVICES AND HOLDINGS SA COMMON STOCK EUR 0.29</t>
        </is>
      </c>
      <c r="C71" s="18" t="n">
        <v>194244.98</v>
      </c>
      <c r="D71" s="19">
        <f>C71/$C$130</f>
        <v/>
      </c>
      <c r="E71" s="38" t="inlineStr">
        <is>
          <t>BZ1MXR7</t>
        </is>
      </c>
    </row>
    <row r="72">
      <c r="A72" s="28" t="n">
        <v>74864</v>
      </c>
      <c r="B72" s="2" t="inlineStr">
        <is>
          <t>MAGYAR TELEKOM TELECOMMUNICATIONS PLC COMMON STOCK HUF 100</t>
        </is>
      </c>
      <c r="C72" s="18" t="n">
        <v>193204.73</v>
      </c>
      <c r="D72" s="19">
        <f>C72/$C$130</f>
        <v/>
      </c>
      <c r="E72" s="38" t="inlineStr">
        <is>
          <t>4577469</t>
        </is>
      </c>
    </row>
    <row r="73">
      <c r="A73" s="28" t="n">
        <v>182204</v>
      </c>
      <c r="B73" s="2" t="inlineStr">
        <is>
          <t>PARKIN CO PJSC COMMON STOCK AED 0.02</t>
        </is>
      </c>
      <c r="C73" s="18" t="n">
        <v>192497.14</v>
      </c>
      <c r="D73" s="19">
        <f>C73/$C$130</f>
        <v/>
      </c>
      <c r="E73" s="38" t="inlineStr">
        <is>
          <t>BRRGQF6</t>
        </is>
      </c>
    </row>
    <row r="74">
      <c r="A74" s="28" t="n">
        <v>6082</v>
      </c>
      <c r="B74" s="2" t="inlineStr">
        <is>
          <t>CO FOR COOPERATIVE INSURANCE/THE COMMON STOCK SAR 10</t>
        </is>
      </c>
      <c r="C74" s="18" t="n">
        <v>190766.57</v>
      </c>
      <c r="D74" s="19">
        <f>C74/$C$130</f>
        <v/>
      </c>
      <c r="E74" s="38" t="inlineStr">
        <is>
          <t>B128FN6</t>
        </is>
      </c>
    </row>
    <row r="75">
      <c r="A75" s="28" t="n">
        <v>3863</v>
      </c>
      <c r="B75" s="2" t="inlineStr">
        <is>
          <t>ERSTE GROUP BANK AG COMMON STOCK EUR 0</t>
        </is>
      </c>
      <c r="C75" s="18" t="n">
        <v>189530.58</v>
      </c>
      <c r="D75" s="19">
        <f>C75/$C$130</f>
        <v/>
      </c>
      <c r="E75" s="38" t="inlineStr">
        <is>
          <t>5289837</t>
        </is>
      </c>
    </row>
    <row r="76">
      <c r="A76" s="28" t="n">
        <v>453680</v>
      </c>
      <c r="B76" s="2" t="inlineStr">
        <is>
          <t>TURKIYE SIGORTA AS COMMON STOCK TRY 1</t>
        </is>
      </c>
      <c r="C76" s="18" t="n">
        <v>187678.12</v>
      </c>
      <c r="D76" s="19">
        <f>C76/$C$130</f>
        <v/>
      </c>
      <c r="E76" s="38" t="inlineStr">
        <is>
          <t>B03MTD8</t>
        </is>
      </c>
    </row>
    <row r="77">
      <c r="A77" s="28" t="n">
        <v>6309</v>
      </c>
      <c r="B77" s="2" t="inlineStr">
        <is>
          <t>RIYADH CABLES GROUP CO COMMON STOCK SAR 10</t>
        </is>
      </c>
      <c r="C77" s="18" t="n">
        <v>184747.79</v>
      </c>
      <c r="D77" s="19">
        <f>C77/$C$130</f>
        <v/>
      </c>
      <c r="E77" s="38" t="inlineStr">
        <is>
          <t>BNBPXW7</t>
        </is>
      </c>
    </row>
    <row r="78">
      <c r="A78" s="28" t="n">
        <v>2568</v>
      </c>
      <c r="B78" s="2" t="inlineStr">
        <is>
          <t>SAUDIA DAIRY &amp; FOODSTUFF CO COMMON STOCK SAR 10</t>
        </is>
      </c>
      <c r="C78" s="18" t="n">
        <v>183905.38</v>
      </c>
      <c r="D78" s="19">
        <f>C78/$C$130</f>
        <v/>
      </c>
      <c r="E78" s="38" t="inlineStr">
        <is>
          <t>B133P41</t>
        </is>
      </c>
    </row>
    <row r="79">
      <c r="A79" s="28" t="n">
        <v>4537</v>
      </c>
      <c r="B79" s="2" t="inlineStr">
        <is>
          <t>LEEJAM SPORTS CO JSC COMMON STOCK SAR 10</t>
        </is>
      </c>
      <c r="C79" s="18" t="n">
        <v>178557.98</v>
      </c>
      <c r="D79" s="19">
        <f>C79/$C$130</f>
        <v/>
      </c>
      <c r="E79" s="38" t="inlineStr">
        <is>
          <t>BF12ZV5</t>
        </is>
      </c>
    </row>
    <row r="80">
      <c r="A80" s="28" t="n">
        <v>257214</v>
      </c>
      <c r="B80" s="2" t="inlineStr">
        <is>
          <t>YAPI VE KREDI BANKASI AS COMMON STOCK TRY 1</t>
        </is>
      </c>
      <c r="C80" s="18" t="n">
        <v>177843.64</v>
      </c>
      <c r="D80" s="19">
        <f>C80/$C$130</f>
        <v/>
      </c>
      <c r="E80" s="38" t="inlineStr">
        <is>
          <t>B03MZJ6</t>
        </is>
      </c>
    </row>
    <row r="81">
      <c r="A81" s="28" t="n">
        <v>32435</v>
      </c>
      <c r="B81" s="2" t="inlineStr">
        <is>
          <t>MOL HUNGARIAN OIL &amp; GAS PLC COMMON STOCK HUF 125</t>
        </is>
      </c>
      <c r="C81" s="18" t="n">
        <v>177713.1</v>
      </c>
      <c r="D81" s="19">
        <f>C81/$C$130</f>
        <v/>
      </c>
      <c r="E81" s="38" t="inlineStr">
        <is>
          <t>BD5ZXH8</t>
        </is>
      </c>
    </row>
    <row r="82">
      <c r="A82" s="28" t="n">
        <v>27950</v>
      </c>
      <c r="B82" s="2" t="inlineStr">
        <is>
          <t>TURK HAVA YOLLARI AO COMMON STOCK TRY 1</t>
        </is>
      </c>
      <c r="C82" s="18" t="n">
        <v>177190.37</v>
      </c>
      <c r="D82" s="19">
        <f>C82/$C$130</f>
        <v/>
      </c>
      <c r="E82" s="38" t="inlineStr">
        <is>
          <t>B03MYK0</t>
        </is>
      </c>
    </row>
    <row r="83">
      <c r="A83" s="28" t="n">
        <v>196322</v>
      </c>
      <c r="B83" s="2" t="inlineStr">
        <is>
          <t>QATAR GAS TRANSPORT CO LTD COMMON STOCK QAR 1</t>
        </is>
      </c>
      <c r="C83" s="18" t="n">
        <v>176345.82</v>
      </c>
      <c r="D83" s="19">
        <f>C83/$C$130</f>
        <v/>
      </c>
      <c r="E83" s="38" t="inlineStr">
        <is>
          <t>B0MLBC9</t>
        </is>
      </c>
    </row>
    <row r="84">
      <c r="A84" s="28" t="n">
        <v>9725</v>
      </c>
      <c r="B84" s="2" t="inlineStr">
        <is>
          <t>UNITED INTERNATIONAL TRANSPORTATION CO COMMON STOCK SAR 10</t>
        </is>
      </c>
      <c r="C84" s="18" t="n">
        <v>168428.94</v>
      </c>
      <c r="D84" s="19">
        <f>C84/$C$130</f>
        <v/>
      </c>
      <c r="E84" s="38" t="inlineStr">
        <is>
          <t>B2493D0</t>
        </is>
      </c>
    </row>
    <row r="85">
      <c r="A85" s="28" t="n">
        <v>7008</v>
      </c>
      <c r="B85" s="2" t="inlineStr">
        <is>
          <t>SAUDI ARAMCO BASE OIL CO COMMON STOCK SAR 10</t>
        </is>
      </c>
      <c r="C85" s="18" t="n">
        <v>166496.61</v>
      </c>
      <c r="D85" s="19">
        <f>C85/$C$130</f>
        <v/>
      </c>
      <c r="E85" s="38" t="inlineStr">
        <is>
          <t>BMDKMB5</t>
        </is>
      </c>
    </row>
    <row r="86">
      <c r="A86" s="28" t="n">
        <v>1238</v>
      </c>
      <c r="B86" s="2" t="inlineStr">
        <is>
          <t>GRUPA KETY SA COMMON STOCK PLN 2.5</t>
        </is>
      </c>
      <c r="C86" s="18" t="n">
        <v>163330.43</v>
      </c>
      <c r="D86" s="19">
        <f>C86/$C$130</f>
        <v/>
      </c>
      <c r="E86" s="38" t="inlineStr">
        <is>
          <t>5216385</t>
        </is>
      </c>
    </row>
    <row r="87">
      <c r="A87" s="28" t="n">
        <v>3695</v>
      </c>
      <c r="B87" s="2" t="inlineStr">
        <is>
          <t>BUPA ARABIA FOR COOPERATIVE INSURANCE CO COMMON STOCK SAR 10</t>
        </is>
      </c>
      <c r="C87" s="18" t="n">
        <v>162380.73</v>
      </c>
      <c r="D87" s="19">
        <f>C87/$C$130</f>
        <v/>
      </c>
      <c r="E87" s="38" t="inlineStr">
        <is>
          <t>B2RLCR0</t>
        </is>
      </c>
    </row>
    <row r="88">
      <c r="A88" s="28" t="n">
        <v>50663</v>
      </c>
      <c r="B88" s="2" t="inlineStr">
        <is>
          <t>TUPRAS-TURKIYE PETROL RAFINE</t>
        </is>
      </c>
      <c r="C88" s="18" t="n">
        <v>162334.88</v>
      </c>
      <c r="D88" s="19">
        <f>C88/$C$130</f>
        <v/>
      </c>
      <c r="E88" s="38" t="inlineStr">
        <is>
          <t>B03MYT9</t>
        </is>
      </c>
    </row>
    <row r="89">
      <c r="A89" s="28" t="n">
        <v>234111</v>
      </c>
      <c r="B89" s="2" t="inlineStr">
        <is>
          <t>TECOM GROUP PJSC COMMON STOCK AED 0.1</t>
        </is>
      </c>
      <c r="C89" s="18" t="n">
        <v>160310.69</v>
      </c>
      <c r="D89" s="19">
        <f>C89/$C$130</f>
        <v/>
      </c>
      <c r="E89" s="38" t="inlineStr">
        <is>
          <t>BLDC8Q1</t>
        </is>
      </c>
    </row>
    <row r="90">
      <c r="A90" s="28" t="n">
        <v>133931</v>
      </c>
      <c r="B90" s="2" t="inlineStr">
        <is>
          <t>ADNOC LOGISTICS &amp; SERVICES COMMON STOCK AED 1.983</t>
        </is>
      </c>
      <c r="C90" s="18" t="n">
        <v>157801.27</v>
      </c>
      <c r="D90" s="19">
        <f>C90/$C$130</f>
        <v/>
      </c>
      <c r="E90" s="38" t="inlineStr">
        <is>
          <t>BRBN103</t>
        </is>
      </c>
    </row>
    <row r="91">
      <c r="A91" s="28" t="n">
        <v>5652</v>
      </c>
      <c r="B91" s="2" t="inlineStr">
        <is>
          <t>KOMERCNI BANKA AS COMMON STOCK CZK 100</t>
        </is>
      </c>
      <c r="C91" s="18" t="n">
        <v>157411.03</v>
      </c>
      <c r="D91" s="19">
        <f>C91/$C$130</f>
        <v/>
      </c>
      <c r="E91" s="38" t="inlineStr">
        <is>
          <t>4519449</t>
        </is>
      </c>
    </row>
    <row r="92">
      <c r="A92" s="28" t="n">
        <v>9203</v>
      </c>
      <c r="B92" s="2" t="inlineStr">
        <is>
          <t>MOTOR OIL HELLAS CORINTH REFINERIES SA COMMON STOCK EUR 0.75</t>
        </is>
      </c>
      <c r="C92" s="18" t="n">
        <v>156292.06</v>
      </c>
      <c r="D92" s="19">
        <f>C92/$C$130</f>
        <v/>
      </c>
      <c r="E92" s="38" t="inlineStr">
        <is>
          <t>5996234</t>
        </is>
      </c>
    </row>
    <row r="93">
      <c r="A93" s="28" t="n">
        <v>30065</v>
      </c>
      <c r="B93" s="2" t="inlineStr">
        <is>
          <t>MOTUS HOLDINGS LTD COMMON STOCK ZAR</t>
        </is>
      </c>
      <c r="C93" s="18" t="n">
        <v>154581.77</v>
      </c>
      <c r="D93" s="19">
        <f>C93/$C$130</f>
        <v/>
      </c>
      <c r="E93" s="38" t="inlineStr">
        <is>
          <t>BDRN3H0</t>
        </is>
      </c>
    </row>
    <row r="94">
      <c r="A94" s="28" t="n">
        <v>12548</v>
      </c>
      <c r="B94" s="2" t="inlineStr">
        <is>
          <t>HELLENIC TELECOMMUNICATIONS ORGANIZATION SA COMMON STOCK EUR 2.83</t>
        </is>
      </c>
      <c r="C94" s="18" t="n">
        <v>153755.18</v>
      </c>
      <c r="D94" s="19">
        <f>C94/$C$130</f>
        <v/>
      </c>
      <c r="E94" s="38" t="inlineStr">
        <is>
          <t>5051605</t>
        </is>
      </c>
    </row>
    <row r="95">
      <c r="A95" s="28" t="n">
        <v>1892</v>
      </c>
      <c r="B95" s="2" t="inlineStr">
        <is>
          <t>KRUK SA COMMON STOCK PLN 1</t>
        </is>
      </c>
      <c r="C95" s="18" t="n">
        <v>152072.06</v>
      </c>
      <c r="D95" s="19">
        <f>C95/$C$130</f>
        <v/>
      </c>
      <c r="E95" s="38" t="inlineStr">
        <is>
          <t>B4PTLY0</t>
        </is>
      </c>
    </row>
    <row r="96">
      <c r="A96" s="28" t="n">
        <v>53407</v>
      </c>
      <c r="B96" s="2" t="inlineStr">
        <is>
          <t>TURKIYE GARANTI BANKASI AS COMMON STOCK TRY 1</t>
        </is>
      </c>
      <c r="C96" s="18" t="n">
        <v>150022.74</v>
      </c>
      <c r="D96" s="19">
        <f>C96/$C$130</f>
        <v/>
      </c>
      <c r="E96" s="38" t="inlineStr">
        <is>
          <t>B03MYP5</t>
        </is>
      </c>
    </row>
    <row r="97">
      <c r="A97" s="28" t="n">
        <v>7795</v>
      </c>
      <c r="B97" s="2" t="inlineStr">
        <is>
          <t>UNITED ELECTRONICS CO COMMON STOCK SAR</t>
        </is>
      </c>
      <c r="C97" s="18" t="n">
        <v>149248.65</v>
      </c>
      <c r="D97" s="19">
        <f>C97/$C$130</f>
        <v/>
      </c>
      <c r="E97" s="38" t="inlineStr">
        <is>
          <t>B4P2SD7</t>
        </is>
      </c>
    </row>
    <row r="98">
      <c r="A98" s="28" t="n">
        <v>4429</v>
      </c>
      <c r="B98" s="2" t="inlineStr">
        <is>
          <t>TITAN CEMENT INTERNATIONAL SA COMMON STOCK EUR</t>
        </is>
      </c>
      <c r="C98" s="18" t="n">
        <v>147210.5</v>
      </c>
      <c r="D98" s="19">
        <f>C98/$C$130</f>
        <v/>
      </c>
      <c r="E98" s="38" t="inlineStr">
        <is>
          <t>BJ8PD99</t>
        </is>
      </c>
    </row>
    <row r="99">
      <c r="A99" s="28" t="n">
        <v>11282</v>
      </c>
      <c r="B99" s="2" t="inlineStr">
        <is>
          <t>OPAP SA COMMON STOCK EUR 0.3</t>
        </is>
      </c>
      <c r="C99" s="18" t="n">
        <v>146264.59</v>
      </c>
      <c r="D99" s="19">
        <f>C99/$C$130</f>
        <v/>
      </c>
      <c r="E99" s="38" t="inlineStr">
        <is>
          <t>7107250</t>
        </is>
      </c>
    </row>
    <row r="100">
      <c r="A100" s="28" t="n">
        <v>4593</v>
      </c>
      <c r="B100" s="2" t="inlineStr">
        <is>
          <t>ALKHORAYEF WATER &amp; POWER TECHNOLOGIES CO COMMON STOCK SAR 10</t>
        </is>
      </c>
      <c r="C100" s="18" t="n">
        <v>146210.23</v>
      </c>
      <c r="D100" s="19">
        <f>C100/$C$130</f>
        <v/>
      </c>
      <c r="E100" s="38" t="inlineStr">
        <is>
          <t>BN33QN1</t>
        </is>
      </c>
    </row>
    <row r="101">
      <c r="A101" s="28" t="n">
        <v>39150</v>
      </c>
      <c r="B101" s="2" t="inlineStr">
        <is>
          <t>ADES HOLDING CO COMMON STOCK SAR 1</t>
        </is>
      </c>
      <c r="C101" s="18" t="n">
        <v>144261.47</v>
      </c>
      <c r="D101" s="19">
        <f>C101/$C$130</f>
        <v/>
      </c>
      <c r="E101" s="38" t="inlineStr">
        <is>
          <t>BR56KM3</t>
        </is>
      </c>
    </row>
    <row r="102">
      <c r="A102" s="28" t="n">
        <v>8660</v>
      </c>
      <c r="B102" s="2" t="inlineStr">
        <is>
          <t>RAIFFEISEN BANK INTERNATIONAL AG COMMON STOCK EUR 0</t>
        </is>
      </c>
      <c r="C102" s="18" t="n">
        <v>140053.44</v>
      </c>
      <c r="D102" s="19">
        <f>C102/$C$130</f>
        <v/>
      </c>
      <c r="E102" s="38" t="inlineStr">
        <is>
          <t>B0704T9</t>
        </is>
      </c>
    </row>
    <row r="103">
      <c r="A103" s="28" t="n">
        <v>30154</v>
      </c>
      <c r="B103" s="2" t="inlineStr">
        <is>
          <t>AVI LTD COMMON STOCK ZAR 5</t>
        </is>
      </c>
      <c r="C103" s="18" t="n">
        <v>139370.84</v>
      </c>
      <c r="D103" s="19">
        <f>C103/$C$130</f>
        <v/>
      </c>
      <c r="E103" s="38" t="inlineStr">
        <is>
          <t>6040958</t>
        </is>
      </c>
    </row>
    <row r="104">
      <c r="A104" s="28" t="n">
        <v>7119200</v>
      </c>
      <c r="B104" s="2" t="inlineStr">
        <is>
          <t>MMC NORILSK NICKEL PJSC COMMON STOCK RUB 1</t>
        </is>
      </c>
      <c r="C104" s="18" t="n">
        <v>137206.83</v>
      </c>
      <c r="D104" s="19">
        <f>C104/$C$130</f>
        <v/>
      </c>
      <c r="E104" s="38" t="inlineStr">
        <is>
          <t>X84C977</t>
        </is>
      </c>
    </row>
    <row r="105">
      <c r="A105" s="28" t="n">
        <v>5574</v>
      </c>
      <c r="B105" s="2" t="inlineStr">
        <is>
          <t>ARABIAN DRILLING CO COMMON STOCK SAR 10</t>
        </is>
      </c>
      <c r="C105" s="18" t="n">
        <v>132190.63</v>
      </c>
      <c r="D105" s="19">
        <f>C105/$C$130</f>
        <v/>
      </c>
      <c r="E105" s="38" t="inlineStr">
        <is>
          <t>BPNZYP9</t>
        </is>
      </c>
    </row>
    <row r="106">
      <c r="A106" s="28" t="n">
        <v>1268490</v>
      </c>
      <c r="B106" s="2" t="inlineStr">
        <is>
          <t>NOVATEK PJSC COMMON STOCK RUB 0.1</t>
        </is>
      </c>
      <c r="C106" s="18" t="n">
        <v>117111.91</v>
      </c>
      <c r="D106" s="19">
        <f>C106/$C$130</f>
        <v/>
      </c>
      <c r="E106" s="38" t="inlineStr">
        <is>
          <t>X84C972</t>
        </is>
      </c>
    </row>
    <row r="107">
      <c r="A107" s="28" t="n">
        <v>103572</v>
      </c>
      <c r="B107" s="2" t="inlineStr">
        <is>
          <t>NOVATEK PJSC COMMON STOCK RUB 0.1</t>
        </is>
      </c>
      <c r="C107" s="18" t="n">
        <v>12698.69</v>
      </c>
      <c r="D107" s="19">
        <f>C107/$C$130</f>
        <v/>
      </c>
      <c r="E107" s="38" t="inlineStr">
        <is>
          <t>X84C970</t>
        </is>
      </c>
    </row>
    <row r="108">
      <c r="A108" s="28" t="n"/>
      <c r="B108" s="27" t="inlineStr">
        <is>
          <t>Subtotal</t>
        </is>
      </c>
      <c r="C108" s="29">
        <f>+C107+C106</f>
        <v/>
      </c>
      <c r="D108" s="31">
        <f>C108/$C$133</f>
        <v/>
      </c>
      <c r="E108" s="38" t="n"/>
    </row>
    <row r="109">
      <c r="A109" s="28" t="n">
        <v>27608</v>
      </c>
      <c r="B109" s="2" t="inlineStr">
        <is>
          <t>BANCA TRANSILVANIA SA COMMON STOCK RON 1</t>
        </is>
      </c>
      <c r="C109" s="18" t="n">
        <v>123642.08</v>
      </c>
      <c r="D109" s="19">
        <f>C109/$C$130</f>
        <v/>
      </c>
      <c r="E109" s="38" t="inlineStr">
        <is>
          <t>5393307</t>
        </is>
      </c>
    </row>
    <row r="110">
      <c r="A110" s="28" t="n">
        <v>4570</v>
      </c>
      <c r="B110" s="2" t="inlineStr">
        <is>
          <t>ALDREES PETROLEUM AND TRANSPORT SERVICES CO COMMON STOCK SAR 10</t>
        </is>
      </c>
      <c r="C110" s="18" t="n">
        <v>116732.07</v>
      </c>
      <c r="D110" s="19">
        <f>C110/$C$130</f>
        <v/>
      </c>
      <c r="E110" s="38" t="inlineStr">
        <is>
          <t>B128FF8</t>
        </is>
      </c>
    </row>
    <row r="111">
      <c r="A111" s="28" t="n">
        <v>2041744</v>
      </c>
      <c r="B111" s="2" t="inlineStr">
        <is>
          <t>ROSNEFT OIL CO PJSC COMMON STOCK RUB 0.01</t>
        </is>
      </c>
      <c r="C111" s="18" t="n">
        <v>60684.86</v>
      </c>
      <c r="D111" s="19">
        <f>C111/$C$130</f>
        <v/>
      </c>
      <c r="E111" s="38" t="inlineStr">
        <is>
          <t>X84C971</t>
        </is>
      </c>
    </row>
    <row r="112">
      <c r="A112" s="28" t="n">
        <v>1677948</v>
      </c>
      <c r="B112" s="2" t="inlineStr">
        <is>
          <t>ROSNEFT OIL CO PJSC COMMON STOCK RUB</t>
        </is>
      </c>
      <c r="C112" s="18" t="n">
        <v>37599.46</v>
      </c>
      <c r="D112" s="19">
        <f>C112/$C$130</f>
        <v/>
      </c>
      <c r="E112" s="38" t="inlineStr">
        <is>
          <t>X84D1F9</t>
        </is>
      </c>
    </row>
    <row r="113">
      <c r="A113" s="28" t="n"/>
      <c r="B113" s="27" t="inlineStr">
        <is>
          <t>Subtotal</t>
        </is>
      </c>
      <c r="C113" s="29">
        <f>+C112+C111</f>
        <v/>
      </c>
      <c r="D113" s="31">
        <f>C113/$C$133</f>
        <v/>
      </c>
      <c r="E113" s="38" t="n"/>
    </row>
    <row r="114">
      <c r="A114" s="28" t="n">
        <v>180877</v>
      </c>
      <c r="B114" s="2" t="inlineStr">
        <is>
          <t>MAGNIT PJSC COMMON STOCK RUB 0.01</t>
        </is>
      </c>
      <c r="C114" s="18" t="n">
        <v>54109.48</v>
      </c>
      <c r="D114" s="19">
        <f>C114/$C$130</f>
        <v/>
      </c>
      <c r="E114" s="38" t="inlineStr">
        <is>
          <t>X8C505A</t>
        </is>
      </c>
    </row>
    <row r="115">
      <c r="A115" s="28" t="n">
        <v>3657350</v>
      </c>
      <c r="B115" s="2" t="inlineStr">
        <is>
          <t>NOVOLIPETSK STEEL PJSC COMMON STOCK RUB</t>
        </is>
      </c>
      <c r="C115" s="18" t="n">
        <v>49890.77</v>
      </c>
      <c r="D115" s="19">
        <f>C115/$C$130</f>
        <v/>
      </c>
      <c r="E115" s="38" t="inlineStr">
        <is>
          <t>X84C97E</t>
        </is>
      </c>
    </row>
    <row r="116">
      <c r="A116" s="28" t="n">
        <v>1265335</v>
      </c>
      <c r="B116" s="2" t="inlineStr">
        <is>
          <t>GAZPROM NEFT PJSC COMMON STOCK RUB</t>
        </is>
      </c>
      <c r="C116" s="18" t="n">
        <v>48897</v>
      </c>
      <c r="D116" s="19">
        <f>C116/$C$130</f>
        <v/>
      </c>
      <c r="E116" s="38" t="inlineStr">
        <is>
          <t>X84D1F6</t>
        </is>
      </c>
    </row>
    <row r="117">
      <c r="A117" s="28" t="n">
        <v>730066</v>
      </c>
      <c r="B117" s="2" t="inlineStr">
        <is>
          <t>TATNEFT PJSC COMMON STOCK RUB</t>
        </is>
      </c>
      <c r="C117" s="18" t="n">
        <v>26444.31</v>
      </c>
      <c r="D117" s="19">
        <f>C117/$C$130</f>
        <v/>
      </c>
      <c r="E117" s="38" t="inlineStr">
        <is>
          <t>X84C973</t>
        </is>
      </c>
    </row>
    <row r="118">
      <c r="A118" s="28" t="n">
        <v>571359</v>
      </c>
      <c r="B118" s="2" t="inlineStr">
        <is>
          <t>TATNEFT PJSC PREFERENCE RUB 1</t>
        </is>
      </c>
      <c r="C118" s="18" t="n">
        <v>18327.47</v>
      </c>
      <c r="D118" s="19">
        <f>C118/$C$130</f>
        <v/>
      </c>
      <c r="E118" s="38" t="inlineStr">
        <is>
          <t>X8C6150</t>
        </is>
      </c>
    </row>
    <row r="119">
      <c r="A119" s="28" t="n"/>
      <c r="B119" s="27" t="inlineStr">
        <is>
          <t>Subtotal</t>
        </is>
      </c>
      <c r="C119" s="29">
        <f>+C118+C117</f>
        <v/>
      </c>
      <c r="D119" s="31">
        <f>C119/$C$133</f>
        <v/>
      </c>
      <c r="E119" s="38" t="n"/>
    </row>
    <row r="120">
      <c r="A120" s="46" t="n">
        <v>6156103</v>
      </c>
      <c r="B120" s="45" t="inlineStr">
        <is>
          <t>ROSTELECOM PJSC COMMON STOCK RUB</t>
        </is>
      </c>
      <c r="C120" s="47" t="n">
        <v>42178.64</v>
      </c>
      <c r="D120" s="19">
        <f>C120/$C$130</f>
        <v/>
      </c>
      <c r="E120" s="38" t="inlineStr">
        <is>
          <t>X84C978</t>
        </is>
      </c>
    </row>
    <row r="121">
      <c r="A121" s="46" t="n">
        <v>4246654</v>
      </c>
      <c r="B121" s="45" t="inlineStr">
        <is>
          <t>VTB BANK PJSC COMMON STOCK RUB 0.01</t>
        </is>
      </c>
      <c r="C121" s="47" t="n">
        <v>41028.83</v>
      </c>
      <c r="D121" s="19">
        <f>C121/$C$130</f>
        <v/>
      </c>
      <c r="E121" s="38" t="inlineStr">
        <is>
          <t>X8C6392</t>
        </is>
      </c>
    </row>
    <row r="122">
      <c r="A122" s="46" t="n">
        <v>29773</v>
      </c>
      <c r="B122" s="45" t="inlineStr">
        <is>
          <t>POLYUS PJSC COMMON STOCK RUB</t>
        </is>
      </c>
      <c r="C122" s="47" t="n">
        <v>24095.5</v>
      </c>
      <c r="D122" s="19">
        <f>C122/$C$130</f>
        <v/>
      </c>
      <c r="E122" s="38" t="inlineStr">
        <is>
          <t>X84D1F8</t>
        </is>
      </c>
    </row>
    <row r="123">
      <c r="A123" s="46" t="n">
        <v>432517</v>
      </c>
      <c r="B123" s="45" t="inlineStr">
        <is>
          <t>MD MEDICAL GROUP INVESTMENTS PLC GDR USD</t>
        </is>
      </c>
      <c r="C123" s="47" t="n">
        <v>19684.98</v>
      </c>
      <c r="D123" s="19">
        <f>C123/$C$130</f>
        <v/>
      </c>
      <c r="E123" s="38" t="inlineStr">
        <is>
          <t>X8C6397</t>
        </is>
      </c>
    </row>
    <row r="124">
      <c r="A124" s="46" t="n">
        <v>12313057</v>
      </c>
      <c r="B124" s="45" t="inlineStr">
        <is>
          <t>SISTEMA PJSFC COMMON STOCK RUB 0.09</t>
        </is>
      </c>
      <c r="C124" s="47" t="n">
        <v>14795.62</v>
      </c>
      <c r="D124" s="19">
        <f>C124/$C$130</f>
        <v/>
      </c>
      <c r="E124" s="38" t="inlineStr">
        <is>
          <t>X84D1F7</t>
        </is>
      </c>
    </row>
    <row r="125">
      <c r="A125" s="46" t="n">
        <v>577525</v>
      </c>
      <c r="B125" s="45" t="inlineStr">
        <is>
          <t>FIX PRICE GROUP LTD GDR</t>
        </is>
      </c>
      <c r="C125" s="47" t="n">
        <v>4334.67</v>
      </c>
      <c r="D125" s="19">
        <f>C125/$C$130</f>
        <v/>
      </c>
      <c r="E125" s="38" t="inlineStr">
        <is>
          <t>X84CF24</t>
        </is>
      </c>
    </row>
    <row r="126">
      <c r="A126" s="46" t="n">
        <v>75226</v>
      </c>
      <c r="B126" s="45" t="inlineStr">
        <is>
          <t>TCS GROUP HOLDING PLC GDR</t>
        </is>
      </c>
      <c r="C126" s="47" t="n">
        <v>1917.89</v>
      </c>
      <c r="D126" s="19">
        <f>C126/$C$130</f>
        <v/>
      </c>
      <c r="E126" s="38" t="inlineStr">
        <is>
          <t>X8C4FD3</t>
        </is>
      </c>
    </row>
    <row r="127">
      <c r="A127" s="46" t="n">
        <v>275182</v>
      </c>
      <c r="B127" s="45" t="inlineStr">
        <is>
          <t>X 5 RETAIL GROUP NV-REGS GDR</t>
        </is>
      </c>
      <c r="C127" s="47" t="n">
        <v>1167.61</v>
      </c>
      <c r="D127" s="19">
        <f>C127/$C$130</f>
        <v/>
      </c>
      <c r="E127" s="38" t="inlineStr">
        <is>
          <t>X8C4FD9</t>
        </is>
      </c>
    </row>
    <row r="128">
      <c r="A128" s="46" t="n">
        <v>552780</v>
      </c>
      <c r="B128" s="45" t="inlineStr">
        <is>
          <t>SEVERSTAL PAO GDR USD</t>
        </is>
      </c>
      <c r="C128" s="47" t="n">
        <v>265.27</v>
      </c>
      <c r="D128" s="19">
        <f>C128/$C$130</f>
        <v/>
      </c>
      <c r="E128" s="38" t="inlineStr">
        <is>
          <t>X84C975</t>
        </is>
      </c>
    </row>
    <row r="129">
      <c r="A129" s="28" t="n"/>
      <c r="B129" s="2" t="n"/>
      <c r="C129" s="18" t="n"/>
      <c r="D129" s="19" t="n"/>
      <c r="E129" s="38" t="n"/>
    </row>
    <row r="130">
      <c r="A130" s="28" t="n"/>
      <c r="B130" s="21" t="inlineStr">
        <is>
          <t>Total portfolio</t>
        </is>
      </c>
      <c r="C130" s="39">
        <f>SUM(C12:C39)+SUM(C41:C51)+SUM(C53:C59)+SUM(C61:C107)+SUM(C109:C112)+SUM(C114:C118)+SUM(C120:C128)</f>
        <v/>
      </c>
      <c r="D130" s="19">
        <f>C130/$C$133</f>
        <v/>
      </c>
      <c r="E130" s="20" t="n"/>
    </row>
    <row r="131">
      <c r="A131" s="28" t="n"/>
      <c r="B131" s="21" t="inlineStr">
        <is>
          <t>Net Current Assets</t>
        </is>
      </c>
      <c r="C131" s="39" t="n">
        <v>54181.07</v>
      </c>
      <c r="D131" s="19">
        <f>C131/$C$133</f>
        <v/>
      </c>
      <c r="E131" s="20" t="n"/>
    </row>
    <row r="132">
      <c r="A132" s="28" t="n"/>
      <c r="B132" s="21" t="n"/>
      <c r="C132" s="39" t="n"/>
      <c r="D132" s="32" t="n"/>
      <c r="E132" s="20" t="n"/>
    </row>
    <row r="133">
      <c r="A133" s="17" t="n"/>
      <c r="B133" s="21" t="inlineStr">
        <is>
          <t>Total Assets</t>
        </is>
      </c>
      <c r="C133" s="22">
        <f>C130+C131</f>
        <v/>
      </c>
      <c r="D133" s="19">
        <f>C133/$C$133</f>
        <v/>
      </c>
      <c r="E133" s="3" t="n"/>
    </row>
    <row r="134" ht="12.75" customHeight="1" s="42">
      <c r="A134"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5"/>
    <row r="136"/>
    <row r="137"/>
  </sheetData>
  <mergeCells count="2">
    <mergeCell ref="A134:E137"/>
    <mergeCell ref="A3:E6"/>
  </mergeCells>
  <conditionalFormatting sqref="B12:B14">
    <cfRule type="containsText" priority="2" operator="containsText" dxfId="0" text="LIQUIDITY">
      <formula>NOT(ISERROR(SEARCH("LIQUIDITY",B12)))</formula>
    </cfRule>
  </conditionalFormatting>
  <conditionalFormatting sqref="B16:B129">
    <cfRule type="containsText" priority="1" operator="containsText" dxfId="0" text="LIQUIDITY">
      <formula>NOT(ISERROR(SEARCH("LIQUIDITY",B16)))</formula>
    </cfRule>
  </conditionalFormatting>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136"/>
  <sheetViews>
    <sheetView topLeftCell="A110" workbookViewId="0">
      <selection activeCell="B130" sqref="B13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November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676285.53</v>
      </c>
      <c r="D12" s="19">
        <f>C12/$C$129</f>
        <v/>
      </c>
      <c r="E12" s="20" t="inlineStr">
        <is>
          <t>B12LZH9</t>
        </is>
      </c>
    </row>
    <row r="13">
      <c r="A13" s="41" t="n">
        <v>3218</v>
      </c>
      <c r="B13" s="2" t="inlineStr">
        <is>
          <t>NASPERS LTD COMMON STOCK ZAR 2</t>
        </is>
      </c>
      <c r="C13" s="18" t="n">
        <v>570159.59</v>
      </c>
      <c r="D13" s="19">
        <f>C13/$C$129</f>
        <v/>
      </c>
      <c r="E13" s="20" t="inlineStr">
        <is>
          <t>BN0VX82</t>
        </is>
      </c>
    </row>
    <row r="14">
      <c r="A14" s="41" t="n">
        <v>142756</v>
      </c>
      <c r="B14" s="2" t="inlineStr">
        <is>
          <t>QATAR NATIONAL BANK QPSC COMMON STOCK QAR 1</t>
        </is>
      </c>
      <c r="C14" s="18" t="n">
        <v>516068.08</v>
      </c>
      <c r="D14" s="19">
        <f>C14/$C$129</f>
        <v/>
      </c>
      <c r="E14" s="20" t="inlineStr">
        <is>
          <t>6148197</t>
        </is>
      </c>
    </row>
    <row r="15">
      <c r="A15" s="41" t="n">
        <v>143349</v>
      </c>
      <c r="B15" s="45" t="inlineStr">
        <is>
          <t>FIRSTRAND LTD COMMON STOCK ZAR 1</t>
        </is>
      </c>
      <c r="C15" s="33" t="n">
        <v>480370.47</v>
      </c>
      <c r="D15" s="19">
        <f>C15/$C$129</f>
        <v/>
      </c>
      <c r="E15" s="20" t="inlineStr">
        <is>
          <t>6606996</t>
        </is>
      </c>
    </row>
    <row r="16">
      <c r="A16" s="41" t="n">
        <v>73566</v>
      </c>
      <c r="B16" s="2" t="inlineStr">
        <is>
          <t>SAUDI ARABIAN OIL CO COMMON STOCK SAR</t>
        </is>
      </c>
      <c r="C16" s="18" t="n">
        <v>422119.52</v>
      </c>
      <c r="D16" s="19">
        <f>C16/$C$129</f>
        <v/>
      </c>
      <c r="E16" s="20" t="inlineStr">
        <is>
          <t>BJTM270</t>
        </is>
      </c>
    </row>
    <row r="17">
      <c r="A17" s="41" t="n">
        <v>40265</v>
      </c>
      <c r="B17" s="2" t="inlineStr">
        <is>
          <t>STANDARD BANK GROUP LTD COMMON STOCK ZAR 10</t>
        </is>
      </c>
      <c r="C17" s="18" t="n">
        <v>415418.23</v>
      </c>
      <c r="D17" s="19">
        <f>C17/$C$129</f>
        <v/>
      </c>
      <c r="E17" s="20" t="inlineStr">
        <is>
          <t>B030GJ7</t>
        </is>
      </c>
    </row>
    <row r="18">
      <c r="A18" s="41" t="n">
        <v>8780</v>
      </c>
      <c r="B18" s="2" t="inlineStr">
        <is>
          <t>OTP BANK NYRT COMMON STOCK HUF 100</t>
        </is>
      </c>
      <c r="C18" s="33" t="n">
        <v>374355.92</v>
      </c>
      <c r="D18" s="19">
        <f>C18/$C$129</f>
        <v/>
      </c>
      <c r="E18" s="20" t="inlineStr">
        <is>
          <t>7320154</t>
        </is>
      </c>
    </row>
    <row r="19">
      <c r="A19" s="41" t="n">
        <v>181376</v>
      </c>
      <c r="B19" s="2" t="inlineStr">
        <is>
          <t>EMAAR PROPERTIES PJSC COMMON STOCK AED 1</t>
        </is>
      </c>
      <c r="C19" s="33" t="n">
        <v>371016.92</v>
      </c>
      <c r="D19" s="19">
        <f>C19/$C$129</f>
        <v/>
      </c>
      <c r="E19" s="20" t="inlineStr">
        <is>
          <t>B01RM25</t>
        </is>
      </c>
    </row>
    <row r="20">
      <c r="A20" s="41" t="n">
        <v>51456</v>
      </c>
      <c r="B20" s="2" t="inlineStr">
        <is>
          <t>THE SAUDI NATIONAL BANK</t>
        </is>
      </c>
      <c r="C20" s="18" t="n">
        <v>349131.28</v>
      </c>
      <c r="D20" s="19">
        <f>C20/$C$129</f>
        <v/>
      </c>
      <c r="E20" s="20" t="inlineStr">
        <is>
          <t>BSHYYN1</t>
        </is>
      </c>
    </row>
    <row r="21">
      <c r="A21" s="41" t="n">
        <v>31177</v>
      </c>
      <c r="B21" s="2" t="inlineStr">
        <is>
          <t>GOLD FIELDS LTD COMMON STOCK ZAR 50</t>
        </is>
      </c>
      <c r="C21" s="18" t="n">
        <v>347754.97</v>
      </c>
      <c r="D21" s="19">
        <f>C21/$C$129</f>
        <v/>
      </c>
      <c r="E21" s="20" t="inlineStr">
        <is>
          <t>6280215</t>
        </is>
      </c>
    </row>
    <row r="22">
      <c r="A22" s="41" t="n">
        <v>78089</v>
      </c>
      <c r="B22" s="2" t="inlineStr">
        <is>
          <t>EMIRATES NBD BANK PJSC COMMON STOCK AED 1</t>
        </is>
      </c>
      <c r="C22" s="18" t="n">
        <v>334526.39</v>
      </c>
      <c r="D22" s="19">
        <f>C22/$C$129</f>
        <v/>
      </c>
      <c r="E22" s="20" t="inlineStr">
        <is>
          <t>B28PFX8</t>
        </is>
      </c>
    </row>
    <row r="23">
      <c r="A23" s="41" t="n">
        <v>29624</v>
      </c>
      <c r="B23" s="2" t="inlineStr">
        <is>
          <t>POWSZECHNA KASA OSZCZEDNOSCI BANK POLSKI SA COMMON STOCK PLN 1</t>
        </is>
      </c>
      <c r="C23" s="18" t="n">
        <v>320554.42</v>
      </c>
      <c r="D23" s="19">
        <f>C23/$C$129</f>
        <v/>
      </c>
      <c r="E23" s="20" t="inlineStr">
        <is>
          <t>B03NGS5</t>
        </is>
      </c>
    </row>
    <row r="24">
      <c r="A24" s="41" t="n">
        <v>22007</v>
      </c>
      <c r="B24" s="2" t="inlineStr">
        <is>
          <t>HALYK SAVINGS BANK OF KAZAKHSTAN JSC GDR USD</t>
        </is>
      </c>
      <c r="C24" s="18" t="n">
        <v>320309.59</v>
      </c>
      <c r="D24" s="19">
        <f>C24/$C$129</f>
        <v/>
      </c>
      <c r="E24" s="20" t="inlineStr">
        <is>
          <t>B1KDG41</t>
        </is>
      </c>
    </row>
    <row r="25">
      <c r="A25" s="41" t="n">
        <v>148768</v>
      </c>
      <c r="B25" s="2" t="inlineStr">
        <is>
          <t>ABU DHABI COMMERCIAL BANK PJSC COMMON STOCK AED 1</t>
        </is>
      </c>
      <c r="C25" s="18" t="n">
        <v>319291.8</v>
      </c>
      <c r="D25" s="19">
        <f>C25/$C$129</f>
        <v/>
      </c>
      <c r="E25" s="20" t="inlineStr">
        <is>
          <t>6545464</t>
        </is>
      </c>
    </row>
    <row r="26">
      <c r="A26" s="41" t="n">
        <v>15105</v>
      </c>
      <c r="B26" s="2" t="inlineStr">
        <is>
          <t>NOVA LJUBLJANSKA BANKA DD GDR EUR</t>
        </is>
      </c>
      <c r="C26" s="18" t="n">
        <v>312538.56</v>
      </c>
      <c r="D26" s="19">
        <f>C26/$C$129</f>
        <v/>
      </c>
      <c r="E26" s="20" t="inlineStr">
        <is>
          <t>BGRPD22</t>
        </is>
      </c>
    </row>
    <row r="27">
      <c r="A27" s="41" t="n">
        <v>9790</v>
      </c>
      <c r="B27" s="2" t="inlineStr">
        <is>
          <t>NAC KAZATOMPROM JSC GDR USD</t>
        </is>
      </c>
      <c r="C27" s="18" t="n">
        <v>310017.31</v>
      </c>
      <c r="D27" s="19">
        <f>C27/$C$129</f>
        <v/>
      </c>
      <c r="E27" s="20" t="inlineStr">
        <is>
          <t>BGXQL36</t>
        </is>
      </c>
    </row>
    <row r="28">
      <c r="A28" s="41" t="n">
        <v>3703</v>
      </c>
      <c r="B28" s="2" t="inlineStr">
        <is>
          <t>JSC KASPI.KZ GDR-REG S</t>
        </is>
      </c>
      <c r="C28" s="18" t="n">
        <v>309979.31</v>
      </c>
      <c r="D28" s="19">
        <f>C28/$C$129</f>
        <v/>
      </c>
      <c r="E28" s="20" t="inlineStr">
        <is>
          <t>BJY21K1</t>
        </is>
      </c>
    </row>
    <row r="29">
      <c r="A29" s="41" t="n">
        <v>190207</v>
      </c>
      <c r="B29" s="2" t="inlineStr">
        <is>
          <t>ALDAR PROPERTIES PJSC COMMON STOCK AED 1</t>
        </is>
      </c>
      <c r="C29" s="18" t="n">
        <v>306783.5</v>
      </c>
      <c r="D29" s="19">
        <f>C29/$C$129</f>
        <v/>
      </c>
      <c r="E29" s="20" t="inlineStr">
        <is>
          <t>B0LX3Y2</t>
        </is>
      </c>
    </row>
    <row r="30">
      <c r="A30" s="41" t="n">
        <v>54728</v>
      </c>
      <c r="B30" s="2" t="inlineStr">
        <is>
          <t>RIYAD BANK COMMON STOCK SAR 10</t>
        </is>
      </c>
      <c r="C30" s="18" t="n">
        <v>300274.6</v>
      </c>
      <c r="D30" s="19">
        <f>C30/$C$129</f>
        <v/>
      </c>
      <c r="E30" s="20" t="inlineStr">
        <is>
          <t>B12LZW4</t>
        </is>
      </c>
    </row>
    <row r="31">
      <c r="A31" s="41" t="n">
        <v>6209</v>
      </c>
      <c r="B31" s="2" t="inlineStr">
        <is>
          <t>BANK OF GEORGIA GROUP PLC COMMON STOCK GBP 1</t>
        </is>
      </c>
      <c r="C31" s="18" t="n">
        <v>290581.2</v>
      </c>
      <c r="D31" s="19">
        <f>C31/$C$129</f>
        <v/>
      </c>
      <c r="E31" s="20" t="inlineStr">
        <is>
          <t>BF4HYT8</t>
        </is>
      </c>
    </row>
    <row r="32">
      <c r="A32" s="41" t="n">
        <v>49901</v>
      </c>
      <c r="B32" s="2" t="inlineStr">
        <is>
          <t>ALINMA BANK COMMON STOCK SAR 10</t>
        </is>
      </c>
      <c r="C32" s="18" t="n">
        <v>289987.96</v>
      </c>
      <c r="D32" s="19">
        <f>C32/$C$129</f>
        <v/>
      </c>
      <c r="E32" s="20" t="inlineStr">
        <is>
          <t>B39NWT3</t>
        </is>
      </c>
    </row>
    <row r="33">
      <c r="A33" s="41" t="n">
        <v>1247</v>
      </c>
      <c r="B33" s="2" t="inlineStr">
        <is>
          <t>ELM CO COMMON STOCK SAR 10</t>
        </is>
      </c>
      <c r="C33" s="18" t="n">
        <v>282919.59</v>
      </c>
      <c r="D33" s="19">
        <f>C33/$C$129</f>
        <v/>
      </c>
      <c r="E33" s="20" t="inlineStr">
        <is>
          <t>BNYDSH8</t>
        </is>
      </c>
    </row>
    <row r="34">
      <c r="A34" s="41" t="n">
        <v>9176</v>
      </c>
      <c r="B34" s="2" t="inlineStr">
        <is>
          <t>TBC BANK GROUP PLC COMMON STOCK GBP 1</t>
        </is>
      </c>
      <c r="C34" s="18" t="n">
        <v>278032.8</v>
      </c>
      <c r="D34" s="19">
        <f>C34/$C$129</f>
        <v/>
      </c>
      <c r="E34" s="20" t="inlineStr">
        <is>
          <t>BYT1830</t>
        </is>
      </c>
    </row>
    <row r="35">
      <c r="A35" s="41" t="n">
        <v>32332</v>
      </c>
      <c r="B35" s="2" t="inlineStr">
        <is>
          <t>POWSZECHNY ZAKLAD UBEZPIECZEN SA COMMON STOCK PLN 0.1</t>
        </is>
      </c>
      <c r="C35" s="18" t="n">
        <v>276631.16</v>
      </c>
      <c r="D35" s="19">
        <f>C35/$C$129</f>
        <v/>
      </c>
      <c r="E35" s="20" t="inlineStr">
        <is>
          <t>B63DG21</t>
        </is>
      </c>
    </row>
    <row r="36">
      <c r="A36" s="41" t="n">
        <v>362649</v>
      </c>
      <c r="B36" s="2" t="inlineStr">
        <is>
          <t>LUKOIL PJSC COMMON STOCK RUB 0.025 RUB</t>
        </is>
      </c>
      <c r="C36" s="18" t="n">
        <v>138713.99</v>
      </c>
      <c r="D36" s="19">
        <f>C36/$C$129</f>
        <v/>
      </c>
      <c r="E36" s="20" t="inlineStr">
        <is>
          <t>X84C974</t>
        </is>
      </c>
    </row>
    <row r="37">
      <c r="A37" s="41" t="n">
        <v>262047</v>
      </c>
      <c r="B37" s="2" t="inlineStr">
        <is>
          <t>LUKOIL PJSC COMMON STOCK RUB</t>
        </is>
      </c>
      <c r="C37" s="18" t="n">
        <v>128563.28</v>
      </c>
      <c r="D37" s="19">
        <f>C37/$C$129</f>
        <v/>
      </c>
      <c r="E37" s="20" t="inlineStr">
        <is>
          <t>X84D1F5</t>
        </is>
      </c>
    </row>
    <row r="38">
      <c r="A38" s="28" t="n"/>
      <c r="B38" s="27" t="inlineStr">
        <is>
          <t>Subtotal</t>
        </is>
      </c>
      <c r="C38" s="29">
        <f>+C37+C36</f>
        <v/>
      </c>
      <c r="D38" s="31">
        <f>C38/$C$132</f>
        <v/>
      </c>
      <c r="E38" s="20" t="n"/>
    </row>
    <row r="39">
      <c r="A39" s="28" t="n">
        <v>35367</v>
      </c>
      <c r="B39" s="2" t="inlineStr">
        <is>
          <t>ABSA GROUP LTD</t>
        </is>
      </c>
      <c r="C39" s="18" t="n">
        <v>265700.02</v>
      </c>
      <c r="D39" s="19">
        <f>C39/$C$129</f>
        <v/>
      </c>
      <c r="E39" s="20" t="inlineStr">
        <is>
          <t>BFX05H3</t>
        </is>
      </c>
    </row>
    <row r="40">
      <c r="A40" s="28" t="n">
        <v>68294</v>
      </c>
      <c r="B40" s="2" t="inlineStr">
        <is>
          <t>SANLAM LTD COMMON STOCK ZAR 1</t>
        </is>
      </c>
      <c r="C40" s="18" t="n">
        <v>261725.07</v>
      </c>
      <c r="D40" s="19">
        <f>C40/$C$129</f>
        <v/>
      </c>
      <c r="E40" s="20" t="inlineStr">
        <is>
          <t>B0L6750</t>
        </is>
      </c>
    </row>
    <row r="41">
      <c r="A41" s="28" t="n">
        <v>458472</v>
      </c>
      <c r="B41" s="2" t="inlineStr">
        <is>
          <t>DUBAI ELECTRICITY &amp; WATER AU</t>
        </is>
      </c>
      <c r="C41" s="18" t="n">
        <v>259255.08</v>
      </c>
      <c r="D41" s="19">
        <f>C41/$C$129</f>
        <v/>
      </c>
      <c r="E41" s="20" t="inlineStr">
        <is>
          <t>BJLTVJ4</t>
        </is>
      </c>
    </row>
    <row r="42">
      <c r="A42" s="28" t="n">
        <v>19991</v>
      </c>
      <c r="B42" s="2" t="inlineStr">
        <is>
          <t>SHOPRITE HOLDINGS LTD COMMON STOCK ZAR 113.4</t>
        </is>
      </c>
      <c r="C42" s="18" t="n">
        <v>257541.64</v>
      </c>
      <c r="D42" s="19">
        <f>C42/$C$129</f>
        <v/>
      </c>
      <c r="E42" s="20" t="inlineStr">
        <is>
          <t>6801575</t>
        </is>
      </c>
    </row>
    <row r="43">
      <c r="A43" s="28" t="n">
        <v>44742</v>
      </c>
      <c r="B43" s="2" t="inlineStr">
        <is>
          <t>NATIONAL BANK OF GREECE SA COMMON STOCK EUR 1</t>
        </is>
      </c>
      <c r="C43" s="18" t="n">
        <v>247835.91</v>
      </c>
      <c r="D43" s="19">
        <f>C43/$C$129</f>
        <v/>
      </c>
      <c r="E43" s="20" t="inlineStr">
        <is>
          <t>BG087C6</t>
        </is>
      </c>
    </row>
    <row r="44">
      <c r="A44" s="28" t="n">
        <v>88181</v>
      </c>
      <c r="B44" s="2" t="inlineStr">
        <is>
          <t>ABU DHABI ISLAMIC BANK PJSC COMMON STOCK AED 1</t>
        </is>
      </c>
      <c r="C44" s="18" t="n">
        <v>246677.04</v>
      </c>
      <c r="D44" s="19">
        <f>C44/$C$129</f>
        <v/>
      </c>
      <c r="E44" s="20" t="inlineStr">
        <is>
          <t>6001728</t>
        </is>
      </c>
    </row>
    <row r="45">
      <c r="A45" s="28" t="n">
        <v>234924</v>
      </c>
      <c r="B45" s="2" t="inlineStr">
        <is>
          <t>PARKIN CO PJSC COMMON STOCK AED 0.02</t>
        </is>
      </c>
      <c r="C45" s="18" t="n">
        <v>239521.7</v>
      </c>
      <c r="D45" s="19">
        <f>C45/$C$129</f>
        <v/>
      </c>
      <c r="E45" s="20" t="inlineStr">
        <is>
          <t>BRRGQF6</t>
        </is>
      </c>
    </row>
    <row r="46">
      <c r="A46" s="28" t="n">
        <v>9088</v>
      </c>
      <c r="B46" s="2" t="inlineStr">
        <is>
          <t>BANK POLSKA KASA OPIEKI SA COMMON STOCK PLN 1</t>
        </is>
      </c>
      <c r="C46" s="18" t="n">
        <v>238635.13</v>
      </c>
      <c r="D46" s="19">
        <f>C46/$C$129</f>
        <v/>
      </c>
      <c r="E46" s="20" t="inlineStr">
        <is>
          <t>5473113</t>
        </is>
      </c>
    </row>
    <row r="47">
      <c r="A47" s="28" t="n">
        <v>11178</v>
      </c>
      <c r="B47" s="2" t="inlineStr">
        <is>
          <t>RICHTER GEDEON NYRT COMMON STOCK HUF 100</t>
        </is>
      </c>
      <c r="C47" s="18" t="n">
        <v>235158.7</v>
      </c>
      <c r="D47" s="19">
        <f>C47/$C$129</f>
        <v/>
      </c>
      <c r="E47" s="20" t="inlineStr">
        <is>
          <t>BC9ZH86</t>
        </is>
      </c>
    </row>
    <row r="48">
      <c r="A48" s="28" t="n">
        <v>112308</v>
      </c>
      <c r="B48" s="2" t="inlineStr">
        <is>
          <t>TURKCELL ILETISIM HIZMET AS</t>
        </is>
      </c>
      <c r="C48" s="18" t="n">
        <v>230575.57</v>
      </c>
      <c r="D48" s="19">
        <f>C48/$C$129</f>
        <v/>
      </c>
      <c r="E48" s="20" t="inlineStr">
        <is>
          <t>B03MYN3</t>
        </is>
      </c>
    </row>
    <row r="49">
      <c r="A49" s="28" t="n">
        <v>8860909</v>
      </c>
      <c r="B49" s="2" t="inlineStr">
        <is>
          <t>GAZPROM PJSC COMMON STOCK RUB</t>
        </is>
      </c>
      <c r="C49" s="18" t="n">
        <v>200765.94</v>
      </c>
      <c r="D49" s="19">
        <f>C49/$C$129</f>
        <v/>
      </c>
      <c r="E49" s="20" t="inlineStr">
        <is>
          <t>X8C529A</t>
        </is>
      </c>
    </row>
    <row r="50">
      <c r="A50" s="28" t="n">
        <v>5365084</v>
      </c>
      <c r="B50" s="2" t="inlineStr">
        <is>
          <t>GAZPROM PJSC ADR</t>
        </is>
      </c>
      <c r="C50" s="18" t="n">
        <v>24540.81</v>
      </c>
      <c r="D50" s="19">
        <f>C50/$C$129</f>
        <v/>
      </c>
      <c r="E50" s="20" t="inlineStr">
        <is>
          <t>X84C976</t>
        </is>
      </c>
    </row>
    <row r="51">
      <c r="A51" s="28" t="n"/>
      <c r="B51" s="27" t="inlineStr">
        <is>
          <t>Subtotal</t>
        </is>
      </c>
      <c r="C51" s="29">
        <f>+C50+C49</f>
        <v/>
      </c>
      <c r="D51" s="31">
        <f>C51/$C$132</f>
        <v/>
      </c>
      <c r="E51" s="38" t="n"/>
    </row>
    <row r="52">
      <c r="A52" s="41" t="n">
        <v>31227</v>
      </c>
      <c r="B52" s="2" t="inlineStr">
        <is>
          <t>HARMONY GOLD MINING CO LTD COMMON STOCK ZAR 50</t>
        </is>
      </c>
      <c r="C52" s="18" t="n">
        <v>224410.75</v>
      </c>
      <c r="D52" s="19">
        <f>C52/$C$129</f>
        <v/>
      </c>
      <c r="E52" s="38" t="inlineStr">
        <is>
          <t>6410562</t>
        </is>
      </c>
    </row>
    <row r="53">
      <c r="A53" s="41" t="n">
        <v>18156</v>
      </c>
      <c r="B53" s="2" t="inlineStr">
        <is>
          <t>BIDVEST GROUP LTD COMMON STOCK ZAR 5</t>
        </is>
      </c>
      <c r="C53" s="18" t="n">
        <v>218323.41</v>
      </c>
      <c r="D53" s="19">
        <f>C53/$C$129</f>
        <v/>
      </c>
      <c r="E53" s="38" t="inlineStr">
        <is>
          <t>6100089</t>
        </is>
      </c>
    </row>
    <row r="54">
      <c r="A54" s="41" t="n">
        <v>8057</v>
      </c>
      <c r="B54" s="2" t="inlineStr">
        <is>
          <t>RIYADH CABLES GROUP CO COMMON STOCK SAR 10</t>
        </is>
      </c>
      <c r="C54" s="18" t="n">
        <v>217318.63</v>
      </c>
      <c r="D54" s="19">
        <f>C54/$C$129</f>
        <v/>
      </c>
      <c r="E54" s="38" t="inlineStr">
        <is>
          <t>BNBPXW7</t>
        </is>
      </c>
    </row>
    <row r="55">
      <c r="A55" s="41" t="n">
        <v>156965</v>
      </c>
      <c r="B55" s="2" t="inlineStr">
        <is>
          <t>AKBANK TAS COMMON STOCK TRY 1</t>
        </is>
      </c>
      <c r="C55" s="18" t="n">
        <v>216381.71</v>
      </c>
      <c r="D55" s="19">
        <f>C55/$C$129</f>
        <v/>
      </c>
      <c r="E55" s="38" t="inlineStr">
        <is>
          <t>B03MN70</t>
        </is>
      </c>
    </row>
    <row r="56">
      <c r="A56" s="41" t="n">
        <v>19988</v>
      </c>
      <c r="B56" s="2" t="inlineStr">
        <is>
          <t>BIM BIRLESIK MAGAZALAR AS COMMON STOCK TRY 1</t>
        </is>
      </c>
      <c r="C56" s="18" t="n">
        <v>214587.03</v>
      </c>
      <c r="D56" s="19">
        <f>C56/$C$129</f>
        <v/>
      </c>
      <c r="E56" s="38" t="inlineStr">
        <is>
          <t>B0D0006</t>
        </is>
      </c>
    </row>
    <row r="57">
      <c r="A57" s="41" t="n">
        <v>71</v>
      </c>
      <c r="B57" s="2" t="inlineStr">
        <is>
          <t>LPP SA COMMON STOCK PLN 2</t>
        </is>
      </c>
      <c r="C57" s="18" t="n">
        <v>214402.19</v>
      </c>
      <c r="D57" s="19">
        <f>C57/$C$129</f>
        <v/>
      </c>
      <c r="E57" s="38" t="inlineStr">
        <is>
          <t>7127979</t>
        </is>
      </c>
    </row>
    <row r="58">
      <c r="A58" s="41" t="n">
        <v>10435</v>
      </c>
      <c r="B58" s="2" t="inlineStr">
        <is>
          <t>JUMBO SA COMMON STOCK EUR 0.88</t>
        </is>
      </c>
      <c r="C58" s="18" t="n">
        <v>214177.05</v>
      </c>
      <c r="D58" s="19">
        <f>C58/$C$129</f>
        <v/>
      </c>
      <c r="E58" s="38" t="inlineStr">
        <is>
          <t>7243530</t>
        </is>
      </c>
    </row>
    <row r="59">
      <c r="A59" s="41" t="n">
        <v>127190</v>
      </c>
      <c r="B59" s="2" t="inlineStr">
        <is>
          <t>EUROBANK ERGASIAS SERVICES AND HOLDINGS SA COMMON STOCK EUR 0.22</t>
        </is>
      </c>
      <c r="C59" s="18" t="n">
        <v>211381.26</v>
      </c>
      <c r="D59" s="19">
        <f>C59/$C$129</f>
        <v/>
      </c>
      <c r="E59" s="38" t="inlineStr">
        <is>
          <t>BYZ43T4</t>
        </is>
      </c>
    </row>
    <row r="60">
      <c r="A60" s="41" t="n">
        <v>144384</v>
      </c>
      <c r="B60" s="2" t="inlineStr">
        <is>
          <t>DUBAI ISLAMIC BANK PJSC COMMON STOCK AED 1</t>
        </is>
      </c>
      <c r="C60" s="18" t="n">
        <v>210299.63</v>
      </c>
      <c r="D60" s="19">
        <f>C60/$C$129</f>
        <v/>
      </c>
      <c r="E60" s="38" t="inlineStr">
        <is>
          <t>6283452</t>
        </is>
      </c>
    </row>
    <row r="61">
      <c r="A61" s="41" t="n">
        <v>14455036</v>
      </c>
      <c r="B61" s="2" t="inlineStr">
        <is>
          <t>SBERBANK OF RUSSIA PJSC PREFERENCE RUB 3</t>
        </is>
      </c>
      <c r="C61" s="18" t="n">
        <v>180671.06</v>
      </c>
      <c r="D61" s="19">
        <f>C61/$C$129</f>
        <v/>
      </c>
      <c r="E61" s="38" t="inlineStr">
        <is>
          <t>X8C6155</t>
        </is>
      </c>
    </row>
    <row r="62">
      <c r="A62" s="41" t="n">
        <v>2355925</v>
      </c>
      <c r="B62" s="2" t="inlineStr">
        <is>
          <t>SBERBANK OF RUSSIA PJSC</t>
        </is>
      </c>
      <c r="C62" s="18" t="n">
        <v>29233.49</v>
      </c>
      <c r="D62" s="19">
        <f>C62/$C$129</f>
        <v/>
      </c>
      <c r="E62" s="38" t="inlineStr">
        <is>
          <t>X8C6398</t>
        </is>
      </c>
    </row>
    <row r="63">
      <c r="A63" s="41" t="n"/>
      <c r="B63" s="27" t="inlineStr">
        <is>
          <t>Subtotal</t>
        </is>
      </c>
      <c r="C63" s="29">
        <f>+C62+C61</f>
        <v/>
      </c>
      <c r="D63" s="31">
        <f>C63/$C$132</f>
        <v/>
      </c>
      <c r="E63" s="38" t="n"/>
    </row>
    <row r="64">
      <c r="A64" s="28" t="n">
        <v>85774</v>
      </c>
      <c r="B64" s="2" t="inlineStr">
        <is>
          <t>EMAAR DEVELOPMENT PJSC COMMON STOCK AED 1</t>
        </is>
      </c>
      <c r="C64" s="18" t="n">
        <v>207608.26</v>
      </c>
      <c r="D64" s="19">
        <f>C64/$C$129</f>
        <v/>
      </c>
      <c r="E64" s="38" t="inlineStr">
        <is>
          <t>BDG1977</t>
        </is>
      </c>
    </row>
    <row r="65">
      <c r="A65" s="28" t="n">
        <v>24635</v>
      </c>
      <c r="B65" s="2" t="inlineStr">
        <is>
          <t>SAUDI TELECOM CO COMMON STOCK</t>
        </is>
      </c>
      <c r="C65" s="18" t="n">
        <v>205325.73</v>
      </c>
      <c r="D65" s="19">
        <f>C65/$C$129</f>
        <v/>
      </c>
      <c r="E65" s="38" t="inlineStr">
        <is>
          <t>B12M7Q5</t>
        </is>
      </c>
    </row>
    <row r="66">
      <c r="A66" s="28" t="n">
        <v>169475</v>
      </c>
      <c r="B66" s="2" t="inlineStr">
        <is>
          <t>ADNOC DRILLING CO PJSC COMMON STOCK AED</t>
        </is>
      </c>
      <c r="C66" s="18" t="n">
        <v>191668.21</v>
      </c>
      <c r="D66" s="19">
        <f>C66/$C$129</f>
        <v/>
      </c>
      <c r="E66" s="38" t="inlineStr">
        <is>
          <t>BN12D39</t>
        </is>
      </c>
    </row>
    <row r="67">
      <c r="A67" s="28" t="n">
        <v>7396</v>
      </c>
      <c r="B67" s="2" t="inlineStr">
        <is>
          <t>METLEN ENERGY &amp; METALS SA COMMON STOCK EUR 0.97</t>
        </is>
      </c>
      <c r="C67" s="18" t="n">
        <v>190766.51</v>
      </c>
      <c r="D67" s="19">
        <f>C67/$C$129</f>
        <v/>
      </c>
      <c r="E67" s="38" t="inlineStr">
        <is>
          <t>5898664</t>
        </is>
      </c>
    </row>
    <row r="68">
      <c r="A68" s="28" t="n">
        <v>74864</v>
      </c>
      <c r="B68" s="2" t="inlineStr">
        <is>
          <t>MAGYAR TELEKOM TELECOMMUNICATIONS PLC COMMON STOCK HUF 100</t>
        </is>
      </c>
      <c r="C68" s="18" t="n">
        <v>186951.55</v>
      </c>
      <c r="D68" s="19">
        <f>C68/$C$129</f>
        <v/>
      </c>
      <c r="E68" s="38" t="inlineStr">
        <is>
          <t>4577469</t>
        </is>
      </c>
    </row>
    <row r="69">
      <c r="A69" s="28" t="n">
        <v>44002</v>
      </c>
      <c r="B69" s="2" t="inlineStr">
        <is>
          <t>ARABIAN CENTRES CO COMMON STOCK SAR 10</t>
        </is>
      </c>
      <c r="C69" s="18" t="n">
        <v>183372.08</v>
      </c>
      <c r="D69" s="19">
        <f>C69/$C$129</f>
        <v/>
      </c>
      <c r="E69" s="38" t="inlineStr">
        <is>
          <t>BKBF694</t>
        </is>
      </c>
    </row>
    <row r="70">
      <c r="A70" s="28" t="n">
        <v>63663</v>
      </c>
      <c r="B70" s="2" t="inlineStr">
        <is>
          <t>PIRAEUS FINANCIAL HOLDINGS SA COMMON STOCK EUR 0.93</t>
        </is>
      </c>
      <c r="C70" s="18" t="n">
        <v>183304.82</v>
      </c>
      <c r="D70" s="19">
        <f>C70/$C$129</f>
        <v/>
      </c>
      <c r="E70" s="38" t="inlineStr">
        <is>
          <t>BNC0DB0</t>
        </is>
      </c>
    </row>
    <row r="71">
      <c r="A71" s="28" t="n">
        <v>2568</v>
      </c>
      <c r="B71" s="2" t="inlineStr">
        <is>
          <t>SAUDIA DAIRY &amp; FOODSTUFF CO COMMON STOCK SAR 10</t>
        </is>
      </c>
      <c r="C71" s="18" t="n">
        <v>181338.62</v>
      </c>
      <c r="D71" s="19">
        <f>C71/$C$129</f>
        <v/>
      </c>
      <c r="E71" s="38" t="inlineStr">
        <is>
          <t>B133P41</t>
        </is>
      </c>
    </row>
    <row r="72">
      <c r="A72" s="41" t="n">
        <v>27950</v>
      </c>
      <c r="B72" s="2" t="inlineStr">
        <is>
          <t>TURK HAVA YOLLARI AO COMMON STOCK TRY 1</t>
        </is>
      </c>
      <c r="C72" s="33" t="n">
        <v>180609.6</v>
      </c>
      <c r="D72" s="19">
        <f>C72/$C$129</f>
        <v/>
      </c>
      <c r="E72" s="38" t="inlineStr">
        <is>
          <t>B03MYK0</t>
        </is>
      </c>
    </row>
    <row r="73">
      <c r="A73" s="28" t="n">
        <v>27398</v>
      </c>
      <c r="B73" s="2" t="inlineStr">
        <is>
          <t>SAUDI AWWAL BANK COMMON STOCK SAR 10</t>
        </is>
      </c>
      <c r="C73" s="18" t="n">
        <v>178150.97</v>
      </c>
      <c r="D73" s="19">
        <f>C73/$C$129</f>
        <v/>
      </c>
      <c r="E73" s="38" t="inlineStr">
        <is>
          <t>B12LSY7</t>
        </is>
      </c>
    </row>
    <row r="74">
      <c r="A74" s="28" t="n">
        <v>145289</v>
      </c>
      <c r="B74" s="2" t="inlineStr">
        <is>
          <t>ALPHA SERVICES AND HOLDINGS SA COMMON STOCK EUR 0.29</t>
        </is>
      </c>
      <c r="C74" s="18" t="n">
        <v>177050.98</v>
      </c>
      <c r="D74" s="19">
        <f>C74/$C$129</f>
        <v/>
      </c>
      <c r="E74" s="38" t="inlineStr">
        <is>
          <t>BZ1MXR7</t>
        </is>
      </c>
    </row>
    <row r="75">
      <c r="A75" s="28" t="n">
        <v>196322</v>
      </c>
      <c r="B75" s="2" t="inlineStr">
        <is>
          <t>QATAR GAS TRANSPORT CO LTD COMMON STOCK QAR 1</t>
        </is>
      </c>
      <c r="C75" s="18" t="n">
        <v>176049.08</v>
      </c>
      <c r="D75" s="19">
        <f>C75/$C$129</f>
        <v/>
      </c>
      <c r="E75" s="38" t="inlineStr">
        <is>
          <t>B0MLBC9</t>
        </is>
      </c>
    </row>
    <row r="76">
      <c r="A76" s="28" t="n">
        <v>32435</v>
      </c>
      <c r="B76" s="2" t="inlineStr">
        <is>
          <t>MOL HUNGARIAN OIL &amp; GAS PLC COMMON STOCK HUF 125</t>
        </is>
      </c>
      <c r="C76" s="18" t="n">
        <v>175016.44</v>
      </c>
      <c r="D76" s="19">
        <f>C76/$C$129</f>
        <v/>
      </c>
      <c r="E76" s="38" t="inlineStr">
        <is>
          <t>BD5ZXH8</t>
        </is>
      </c>
    </row>
    <row r="77">
      <c r="A77" s="28" t="n">
        <v>1238</v>
      </c>
      <c r="B77" s="2" t="inlineStr">
        <is>
          <t>GRUPA KETY SA COMMON STOCK PLN 2.5</t>
        </is>
      </c>
      <c r="C77" s="18" t="n">
        <v>173622.22</v>
      </c>
      <c r="D77" s="19">
        <f>C77/$C$129</f>
        <v/>
      </c>
      <c r="E77" s="38" t="inlineStr">
        <is>
          <t>5216385</t>
        </is>
      </c>
    </row>
    <row r="78">
      <c r="A78" s="28" t="n">
        <v>4537</v>
      </c>
      <c r="B78" s="2" t="inlineStr">
        <is>
          <t>LEEJAM SPORTS CO JSC COMMON STOCK SAR 10</t>
        </is>
      </c>
      <c r="C78" s="18" t="n">
        <v>172921.06</v>
      </c>
      <c r="D78" s="19">
        <f>C78/$C$129</f>
        <v/>
      </c>
      <c r="E78" s="38" t="inlineStr">
        <is>
          <t>BF12ZV5</t>
        </is>
      </c>
    </row>
    <row r="79">
      <c r="A79" s="28" t="n">
        <v>257214</v>
      </c>
      <c r="B79" s="2" t="inlineStr">
        <is>
          <t>YAPI VE KREDI BANKASI AS COMMON STOCK TRY 1</t>
        </is>
      </c>
      <c r="C79" s="18" t="n">
        <v>172856.99</v>
      </c>
      <c r="D79" s="19">
        <f>C79/$C$129</f>
        <v/>
      </c>
      <c r="E79" s="38" t="inlineStr">
        <is>
          <t>B03MZJ6</t>
        </is>
      </c>
    </row>
    <row r="80">
      <c r="A80" s="28" t="n">
        <v>50663</v>
      </c>
      <c r="B80" s="2" t="inlineStr">
        <is>
          <t>TUPRAS-TURKIYE PETROL RAFINE</t>
        </is>
      </c>
      <c r="C80" s="18" t="n">
        <v>169088.03</v>
      </c>
      <c r="D80" s="19">
        <f>C80/$C$129</f>
        <v/>
      </c>
      <c r="E80" s="38" t="inlineStr">
        <is>
          <t>B03MYT9</t>
        </is>
      </c>
    </row>
    <row r="81">
      <c r="A81" s="28" t="n">
        <v>6082</v>
      </c>
      <c r="B81" s="2" t="inlineStr">
        <is>
          <t>CO FOR COOPERATIVE INSURANCE/THE COMMON STOCK SAR 10</t>
        </is>
      </c>
      <c r="C81" s="18" t="n">
        <v>167613.9</v>
      </c>
      <c r="D81" s="19">
        <f>C81/$C$129</f>
        <v/>
      </c>
      <c r="E81" s="38" t="inlineStr">
        <is>
          <t>B128FN6</t>
        </is>
      </c>
    </row>
    <row r="82">
      <c r="A82" s="28" t="n">
        <v>3863</v>
      </c>
      <c r="B82" s="2" t="inlineStr">
        <is>
          <t>ERSTE GROUP BANK AG COMMON STOCK EUR 0</t>
        </is>
      </c>
      <c r="C82" s="18" t="n">
        <v>166792.83</v>
      </c>
      <c r="D82" s="19">
        <f>C82/$C$129</f>
        <v/>
      </c>
      <c r="E82" s="38" t="inlineStr">
        <is>
          <t>5289837</t>
        </is>
      </c>
    </row>
    <row r="83">
      <c r="A83" s="28" t="n">
        <v>234111</v>
      </c>
      <c r="B83" s="2" t="inlineStr">
        <is>
          <t>TECOM GROUP PJSC COMMON STOCK AED</t>
        </is>
      </c>
      <c r="C83" s="18" t="n">
        <v>163474.47</v>
      </c>
      <c r="D83" s="19">
        <f>C83/$C$129</f>
        <v/>
      </c>
      <c r="E83" s="38" t="inlineStr">
        <is>
          <t>BLDC8Q1</t>
        </is>
      </c>
    </row>
    <row r="84">
      <c r="A84" s="28" t="n">
        <v>7008</v>
      </c>
      <c r="B84" s="2" t="inlineStr">
        <is>
          <t>SAUDI ARAMCO BASE OIL CO COMMON STOCK SAR 10</t>
        </is>
      </c>
      <c r="C84" s="18" t="n">
        <v>161727.33</v>
      </c>
      <c r="D84" s="19">
        <f>C84/$C$129</f>
        <v/>
      </c>
      <c r="E84" s="38" t="inlineStr">
        <is>
          <t>BMDKMB5</t>
        </is>
      </c>
    </row>
    <row r="85">
      <c r="A85" s="28" t="n">
        <v>30065</v>
      </c>
      <c r="B85" s="2" t="inlineStr">
        <is>
          <t>MOTUS HOLDINGS LTD COMMON STOCK ZAR</t>
        </is>
      </c>
      <c r="C85" s="18" t="n">
        <v>161193.94</v>
      </c>
      <c r="D85" s="19">
        <f>C85/$C$129</f>
        <v/>
      </c>
      <c r="E85" s="38" t="inlineStr">
        <is>
          <t>BDRN3H0</t>
        </is>
      </c>
    </row>
    <row r="86">
      <c r="A86" s="28" t="n">
        <v>9725</v>
      </c>
      <c r="B86" s="2" t="inlineStr">
        <is>
          <t>UNITED INTERNATIONAL TRANSPORTATION CO COMMON STOCK SAR 10</t>
        </is>
      </c>
      <c r="C86" s="18" t="n">
        <v>159259.04</v>
      </c>
      <c r="D86" s="19">
        <f>C86/$C$129</f>
        <v/>
      </c>
      <c r="E86" s="38" t="inlineStr">
        <is>
          <t>B2493D0</t>
        </is>
      </c>
    </row>
    <row r="87">
      <c r="A87" s="28" t="n">
        <v>133931</v>
      </c>
      <c r="B87" s="2" t="inlineStr">
        <is>
          <t>ADNOC LOGISTICS &amp; SERVICES COMMON STOCK AED</t>
        </is>
      </c>
      <c r="C87" s="18" t="n">
        <v>157207.11</v>
      </c>
      <c r="D87" s="19">
        <f>C87/$C$129</f>
        <v/>
      </c>
      <c r="E87" s="38" t="inlineStr">
        <is>
          <t>BRBN103</t>
        </is>
      </c>
    </row>
    <row r="88">
      <c r="A88" s="28" t="n">
        <v>12548</v>
      </c>
      <c r="B88" s="2" t="inlineStr">
        <is>
          <t>HELLENIC TELECOMMUNICATIONS ORGANIZATION SA COMMON STOCK EUR 2.83</t>
        </is>
      </c>
      <c r="C88" s="18" t="n">
        <v>155778.9</v>
      </c>
      <c r="D88" s="19">
        <f>C88/$C$129</f>
        <v/>
      </c>
      <c r="E88" s="38" t="inlineStr">
        <is>
          <t>5051605</t>
        </is>
      </c>
    </row>
    <row r="89">
      <c r="A89" s="28" t="n">
        <v>1892</v>
      </c>
      <c r="B89" s="2" t="inlineStr">
        <is>
          <t>KRUK SA COMMON STOCK PLN 1</t>
        </is>
      </c>
      <c r="C89" s="18" t="n">
        <v>154553.86</v>
      </c>
      <c r="D89" s="19">
        <f>C89/$C$129</f>
        <v/>
      </c>
      <c r="E89" s="38" t="inlineStr">
        <is>
          <t>B4PTLY0</t>
        </is>
      </c>
    </row>
    <row r="90">
      <c r="A90" s="28" t="n">
        <v>5652</v>
      </c>
      <c r="B90" s="2" t="inlineStr">
        <is>
          <t>KOMERCNI BANKA AS COMMON STOCK CZK 100</t>
        </is>
      </c>
      <c r="C90" s="18" t="n">
        <v>151620.73</v>
      </c>
      <c r="D90" s="19">
        <f>C90/$C$129</f>
        <v/>
      </c>
      <c r="E90" s="38" t="inlineStr">
        <is>
          <t>4519449</t>
        </is>
      </c>
    </row>
    <row r="91">
      <c r="A91" s="28" t="n">
        <v>9203</v>
      </c>
      <c r="B91" s="2" t="inlineStr">
        <is>
          <t>MOTOR OIL HELLAS CORINTH REFINERIES SA COMMON STOCK EUR 0.75</t>
        </is>
      </c>
      <c r="C91" s="18" t="n">
        <v>149965.22</v>
      </c>
      <c r="D91" s="19">
        <f>C91/$C$129</f>
        <v/>
      </c>
      <c r="E91" s="38" t="inlineStr">
        <is>
          <t>5996234</t>
        </is>
      </c>
    </row>
    <row r="92">
      <c r="A92" s="28" t="n">
        <v>39150</v>
      </c>
      <c r="B92" s="2" t="inlineStr">
        <is>
          <t>ADES HOLDING CO COMMON STOCK SAR 1</t>
        </is>
      </c>
      <c r="C92" s="18" t="n">
        <v>146590.9</v>
      </c>
      <c r="D92" s="19">
        <f>C92/$C$129</f>
        <v/>
      </c>
      <c r="E92" s="38" t="inlineStr">
        <is>
          <t>BR56KM3</t>
        </is>
      </c>
    </row>
    <row r="93">
      <c r="A93" s="28" t="n">
        <v>53407</v>
      </c>
      <c r="B93" s="2" t="inlineStr">
        <is>
          <t>TURKIYE GARANTI BANKASI AS COMMON STOCK TRY 1</t>
        </is>
      </c>
      <c r="C93" s="18" t="n">
        <v>145914.81</v>
      </c>
      <c r="D93" s="19">
        <f>C93/$C$129</f>
        <v/>
      </c>
      <c r="E93" s="38" t="inlineStr">
        <is>
          <t>B03MYP5</t>
        </is>
      </c>
    </row>
    <row r="94">
      <c r="A94" s="28" t="n">
        <v>11282</v>
      </c>
      <c r="B94" s="2" t="inlineStr">
        <is>
          <t>OPAP SA COMMON STOCK EUR 0.3</t>
        </is>
      </c>
      <c r="C94" s="18" t="n">
        <v>145405.7</v>
      </c>
      <c r="D94" s="19">
        <f>C94/$C$129</f>
        <v/>
      </c>
      <c r="E94" s="38" t="inlineStr">
        <is>
          <t>7107250</t>
        </is>
      </c>
    </row>
    <row r="95">
      <c r="A95" s="28" t="n">
        <v>30154</v>
      </c>
      <c r="B95" s="2" t="inlineStr">
        <is>
          <t>AVI LTD COMMON STOCK ZAR 5</t>
        </is>
      </c>
      <c r="C95" s="18" t="n">
        <v>144308.87</v>
      </c>
      <c r="D95" s="19">
        <f>C95/$C$129</f>
        <v/>
      </c>
      <c r="E95" s="38" t="inlineStr">
        <is>
          <t>6040958</t>
        </is>
      </c>
    </row>
    <row r="96">
      <c r="A96" s="28" t="n">
        <v>4429</v>
      </c>
      <c r="B96" s="2" t="inlineStr">
        <is>
          <t>TITAN CEMENT INTERNATIONAL SA COMMON STOCK EUR</t>
        </is>
      </c>
      <c r="C96" s="18" t="n">
        <v>142797.61</v>
      </c>
      <c r="D96" s="19">
        <f>C96/$C$129</f>
        <v/>
      </c>
      <c r="E96" s="38" t="inlineStr">
        <is>
          <t>BJ8PD99</t>
        </is>
      </c>
    </row>
    <row r="97">
      <c r="A97" s="28" t="n">
        <v>3695</v>
      </c>
      <c r="B97" s="2" t="inlineStr">
        <is>
          <t>BUPA ARABIA FOR COOPERATIVE INSURANCE CO COMMON STOCK SAR 10</t>
        </is>
      </c>
      <c r="C97" s="18" t="n">
        <v>142377.05</v>
      </c>
      <c r="D97" s="19">
        <f>C97/$C$129</f>
        <v/>
      </c>
      <c r="E97" s="38" t="inlineStr">
        <is>
          <t>B2RLCR0</t>
        </is>
      </c>
    </row>
    <row r="98">
      <c r="A98" s="28" t="n">
        <v>4593</v>
      </c>
      <c r="B98" s="2" t="inlineStr">
        <is>
          <t>ALKHORAYEF WATER &amp; POWER TECHNOLOGIES CO COMMON STOCK SAR 10</t>
        </is>
      </c>
      <c r="C98" s="18" t="n">
        <v>138313.02</v>
      </c>
      <c r="D98" s="19">
        <f>C98/$C$129</f>
        <v/>
      </c>
      <c r="E98" s="38" t="inlineStr">
        <is>
          <t>BN33QN1</t>
        </is>
      </c>
    </row>
    <row r="99">
      <c r="A99" s="28" t="n">
        <v>15514</v>
      </c>
      <c r="B99" s="2" t="inlineStr">
        <is>
          <t>SARANTIS SA EUR1.53</t>
        </is>
      </c>
      <c r="C99" s="18" t="n">
        <v>138198.11</v>
      </c>
      <c r="D99" s="19">
        <f>C99/$C$129</f>
        <v/>
      </c>
      <c r="E99" s="38" t="inlineStr">
        <is>
          <t>7124958</t>
        </is>
      </c>
    </row>
    <row r="100">
      <c r="A100" s="28" t="n">
        <v>7119200</v>
      </c>
      <c r="B100" s="2" t="inlineStr">
        <is>
          <t>MMC NORILSK NICKEL PJSC COMMON STOCK RUB 1</t>
        </is>
      </c>
      <c r="C100" s="18" t="n">
        <v>135193.61</v>
      </c>
      <c r="D100" s="19">
        <f>C100/$C$129</f>
        <v/>
      </c>
      <c r="E100" s="38" t="inlineStr">
        <is>
          <t>X84C977</t>
        </is>
      </c>
    </row>
    <row r="101">
      <c r="A101" s="28" t="n">
        <v>453680</v>
      </c>
      <c r="B101" s="2" t="inlineStr">
        <is>
          <t>TURKIYE SIGORTA AS COMMON STOCK TRY 1</t>
        </is>
      </c>
      <c r="C101" s="18" t="n">
        <v>135060.55</v>
      </c>
      <c r="D101" s="19">
        <f>C101/$C$129</f>
        <v/>
      </c>
      <c r="E101" s="38" t="inlineStr">
        <is>
          <t>B03MTD8</t>
        </is>
      </c>
    </row>
    <row r="102">
      <c r="A102" s="28" t="n">
        <v>8660</v>
      </c>
      <c r="B102" s="2" t="inlineStr">
        <is>
          <t>RAIFFEISEN BANK INTERNATIONAL AG COMMON STOCK EUR 0</t>
        </is>
      </c>
      <c r="C102" s="18" t="n">
        <v>132265.61</v>
      </c>
      <c r="D102" s="19">
        <f>C102/$C$129</f>
        <v/>
      </c>
      <c r="E102" s="38" t="inlineStr">
        <is>
          <t>B0704T9</t>
        </is>
      </c>
    </row>
    <row r="103">
      <c r="A103" s="28" t="n">
        <v>1268490</v>
      </c>
      <c r="B103" s="2" t="inlineStr">
        <is>
          <t>NOVATEK PJSC COMMON STOCK RUB 0.1</t>
        </is>
      </c>
      <c r="C103" s="18" t="n">
        <v>119475.86</v>
      </c>
      <c r="D103" s="19">
        <f>C103/$C$129</f>
        <v/>
      </c>
      <c r="E103" s="38" t="inlineStr">
        <is>
          <t>X84C972</t>
        </is>
      </c>
    </row>
    <row r="104">
      <c r="A104" s="28" t="n">
        <v>103572</v>
      </c>
      <c r="B104" s="2" t="inlineStr">
        <is>
          <t>NOVATEK PJSC COMMON STOCK RUB 0.1</t>
        </is>
      </c>
      <c r="C104" s="18" t="n">
        <v>12512.36</v>
      </c>
      <c r="D104" s="19">
        <f>C104/$C$129</f>
        <v/>
      </c>
      <c r="E104" s="38" t="inlineStr">
        <is>
          <t>X84C970</t>
        </is>
      </c>
    </row>
    <row r="105">
      <c r="A105" s="28" t="n"/>
      <c r="B105" s="27" t="inlineStr">
        <is>
          <t>Subtotal</t>
        </is>
      </c>
      <c r="C105" s="29">
        <f>+C104+C103</f>
        <v/>
      </c>
      <c r="D105" s="31">
        <f>C105/$C$132</f>
        <v/>
      </c>
      <c r="E105" s="38" t="n"/>
    </row>
    <row r="106">
      <c r="A106" s="28" t="n">
        <v>5574</v>
      </c>
      <c r="B106" s="2" t="inlineStr">
        <is>
          <t>ARABIAN DRILLING CO COMMON STOCK SAR 10</t>
        </is>
      </c>
      <c r="C106" s="18" t="n">
        <v>130735.25</v>
      </c>
      <c r="D106" s="19">
        <f>C106/$C$129</f>
        <v/>
      </c>
      <c r="E106" s="38" t="inlineStr">
        <is>
          <t>BPNZYP9</t>
        </is>
      </c>
    </row>
    <row r="107">
      <c r="A107" s="28" t="n">
        <v>27608</v>
      </c>
      <c r="B107" s="2" t="inlineStr">
        <is>
          <t>BANCA TRANSILVANIA SA COMMON STOCK RON 1</t>
        </is>
      </c>
      <c r="C107" s="18" t="n">
        <v>121469.18</v>
      </c>
      <c r="D107" s="19">
        <f>C107/$C$129</f>
        <v/>
      </c>
      <c r="E107" s="38" t="inlineStr">
        <is>
          <t>5393307</t>
        </is>
      </c>
    </row>
    <row r="108">
      <c r="A108" s="28" t="n">
        <v>4570</v>
      </c>
      <c r="B108" s="2" t="inlineStr">
        <is>
          <t>ALDREES PETROLEUM AND TRANSPORT SERVICES CO COMMON STOCK SAR 10</t>
        </is>
      </c>
      <c r="C108" s="18" t="n">
        <v>110823.66</v>
      </c>
      <c r="D108" s="19">
        <f>C108/$C$129</f>
        <v/>
      </c>
      <c r="E108" s="38" t="inlineStr">
        <is>
          <t>B128FF8</t>
        </is>
      </c>
    </row>
    <row r="109">
      <c r="A109" s="28" t="n">
        <v>2041744</v>
      </c>
      <c r="B109" s="2" t="inlineStr">
        <is>
          <t>ROSNEFT OIL CO PJSC COMMON STOCK RUB 0.01</t>
        </is>
      </c>
      <c r="C109" s="18" t="n">
        <v>59794.44</v>
      </c>
      <c r="D109" s="19">
        <f>C109/$C$129</f>
        <v/>
      </c>
      <c r="E109" s="38" t="inlineStr">
        <is>
          <t>X84C971</t>
        </is>
      </c>
    </row>
    <row r="110">
      <c r="A110" s="28" t="n">
        <v>1677948</v>
      </c>
      <c r="B110" s="2" t="inlineStr">
        <is>
          <t>ROSNEFT OIL CO PJSC COMMON STOCK RUB</t>
        </is>
      </c>
      <c r="C110" s="18" t="n">
        <v>38358.42</v>
      </c>
      <c r="D110" s="19">
        <f>C110/$C$129</f>
        <v/>
      </c>
      <c r="E110" s="38" t="inlineStr">
        <is>
          <t>X84D1F9</t>
        </is>
      </c>
    </row>
    <row r="111">
      <c r="A111" s="28" t="n"/>
      <c r="B111" s="27" t="inlineStr">
        <is>
          <t>Subtotal</t>
        </is>
      </c>
      <c r="C111" s="29">
        <f>+C110+C109</f>
        <v/>
      </c>
      <c r="D111" s="31">
        <f>C111/$C$132</f>
        <v/>
      </c>
      <c r="E111" s="38" t="n"/>
    </row>
    <row r="112">
      <c r="A112" s="28" t="n">
        <v>2890</v>
      </c>
      <c r="B112" s="2" t="inlineStr">
        <is>
          <t>UNITED ELECTRONICS CO COMMON STOCK SAR</t>
        </is>
      </c>
      <c r="C112" s="18" t="n">
        <v>59794.68</v>
      </c>
      <c r="D112" s="19">
        <f>C112/$C$129</f>
        <v/>
      </c>
      <c r="E112" s="38" t="inlineStr">
        <is>
          <t>B4P2SD7</t>
        </is>
      </c>
    </row>
    <row r="113">
      <c r="A113" s="28" t="n">
        <v>180877</v>
      </c>
      <c r="B113" s="2" t="inlineStr">
        <is>
          <t>MAGNIT PJSC COMMON STOCK RUB 0.01</t>
        </is>
      </c>
      <c r="C113" s="18" t="n">
        <v>53315.53</v>
      </c>
      <c r="D113" s="19">
        <f>C113/$C$129</f>
        <v/>
      </c>
      <c r="E113" s="38" t="inlineStr">
        <is>
          <t>X8C505A</t>
        </is>
      </c>
    </row>
    <row r="114">
      <c r="A114" s="28" t="n">
        <v>3657350</v>
      </c>
      <c r="B114" s="2" t="inlineStr">
        <is>
          <t>NOVOLIPETSK STEEL PJSC COMMON STOCK RUB</t>
        </is>
      </c>
      <c r="C114" s="18" t="n">
        <v>50897.83</v>
      </c>
      <c r="D114" s="19">
        <f>C114/$C$129</f>
        <v/>
      </c>
      <c r="E114" s="38" t="inlineStr">
        <is>
          <t>X84C97E</t>
        </is>
      </c>
    </row>
    <row r="115">
      <c r="A115" s="28" t="n">
        <v>1265335</v>
      </c>
      <c r="B115" s="2" t="inlineStr">
        <is>
          <t>GAZPROM NEFT PJSC COMMON STOCK RUB</t>
        </is>
      </c>
      <c r="C115" s="18" t="n">
        <v>48179.54</v>
      </c>
      <c r="D115" s="19">
        <f>C115/$C$129</f>
        <v/>
      </c>
      <c r="E115" s="38" t="inlineStr">
        <is>
          <t>X84D1F6</t>
        </is>
      </c>
    </row>
    <row r="116">
      <c r="A116" s="28" t="n">
        <v>730066</v>
      </c>
      <c r="B116" s="2" t="inlineStr">
        <is>
          <t>TATNEFT PJSC COMMON STOCK RUB</t>
        </is>
      </c>
      <c r="C116" s="18" t="n">
        <v>26056.3</v>
      </c>
      <c r="D116" s="19">
        <f>C116/$C$129</f>
        <v/>
      </c>
      <c r="E116" s="38" t="inlineStr">
        <is>
          <t>X84C973</t>
        </is>
      </c>
    </row>
    <row r="117">
      <c r="A117" s="28" t="n">
        <v>571359</v>
      </c>
      <c r="B117" s="2" t="inlineStr">
        <is>
          <t>TATNEFT PJSC PREFERENCE RUB 1</t>
        </is>
      </c>
      <c r="C117" s="18" t="n">
        <v>18058.55</v>
      </c>
      <c r="D117" s="19">
        <f>C117/$C$129</f>
        <v/>
      </c>
      <c r="E117" s="38" t="inlineStr">
        <is>
          <t>X8C6150</t>
        </is>
      </c>
    </row>
    <row r="118">
      <c r="A118" s="28" t="n"/>
      <c r="B118" s="27" t="inlineStr">
        <is>
          <t>Subtotal</t>
        </is>
      </c>
      <c r="C118" s="29">
        <f>+C117+C116</f>
        <v/>
      </c>
      <c r="D118" s="31">
        <f>C118/$C$132</f>
        <v/>
      </c>
      <c r="E118" s="38" t="n"/>
    </row>
    <row r="119">
      <c r="A119" s="46" t="n">
        <v>6156103</v>
      </c>
      <c r="B119" s="45" t="inlineStr">
        <is>
          <t>ROSTELECOM PJSC COMMON STOCK RUB</t>
        </is>
      </c>
      <c r="C119" s="47" t="n">
        <v>41559.76</v>
      </c>
      <c r="D119" s="19">
        <f>C119/$C$129</f>
        <v/>
      </c>
      <c r="E119" s="38" t="inlineStr">
        <is>
          <t>X84C978</t>
        </is>
      </c>
    </row>
    <row r="120">
      <c r="A120" s="46" t="n">
        <v>4246654</v>
      </c>
      <c r="B120" s="45" t="inlineStr">
        <is>
          <t>VTB BANK PJSC COMMON STOCK RUB 0.01</t>
        </is>
      </c>
      <c r="C120" s="47" t="n">
        <v>40426.82</v>
      </c>
      <c r="D120" s="19">
        <f>C120/$C$129</f>
        <v/>
      </c>
      <c r="E120" s="38" t="inlineStr">
        <is>
          <t>X8C6392</t>
        </is>
      </c>
    </row>
    <row r="121">
      <c r="A121" s="46" t="n">
        <v>29773</v>
      </c>
      <c r="B121" s="45" t="inlineStr">
        <is>
          <t>POLYUS PJSC COMMON STOCK RUB</t>
        </is>
      </c>
      <c r="C121" s="47" t="n">
        <v>24581.88</v>
      </c>
      <c r="D121" s="19">
        <f>C121/$C$129</f>
        <v/>
      </c>
      <c r="E121" s="38" t="inlineStr">
        <is>
          <t>X84D1F8</t>
        </is>
      </c>
    </row>
    <row r="122">
      <c r="A122" s="46" t="n">
        <v>432517</v>
      </c>
      <c r="B122" s="45" t="inlineStr">
        <is>
          <t>MD MEDICAL GROUP INVESTMENTS PLC GDR USD</t>
        </is>
      </c>
      <c r="C122" s="47" t="n">
        <v>19396.14</v>
      </c>
      <c r="D122" s="19">
        <f>C122/$C$129</f>
        <v/>
      </c>
      <c r="E122" s="38" t="inlineStr">
        <is>
          <t>X8C6397</t>
        </is>
      </c>
    </row>
    <row r="123">
      <c r="A123" s="46" t="n">
        <v>12313057</v>
      </c>
      <c r="B123" s="45" t="inlineStr">
        <is>
          <t>SISTEMA PJSFC COMMON STOCK RUB 0.09</t>
        </is>
      </c>
      <c r="C123" s="47" t="n">
        <v>14578.53</v>
      </c>
      <c r="D123" s="19">
        <f>C123/$C$129</f>
        <v/>
      </c>
      <c r="E123" s="38" t="inlineStr">
        <is>
          <t>X84D1F7</t>
        </is>
      </c>
    </row>
    <row r="124">
      <c r="A124" s="46" t="n">
        <v>577525</v>
      </c>
      <c r="B124" s="45" t="inlineStr">
        <is>
          <t>FIX PRICE GROUP LTD GDR</t>
        </is>
      </c>
      <c r="C124" s="47" t="n">
        <v>4271.07</v>
      </c>
      <c r="D124" s="19">
        <f>C124/$C$129</f>
        <v/>
      </c>
      <c r="E124" s="38" t="inlineStr">
        <is>
          <t>X84CF24</t>
        </is>
      </c>
    </row>
    <row r="125">
      <c r="A125" s="46" t="n">
        <v>75226</v>
      </c>
      <c r="B125" s="45" t="inlineStr">
        <is>
          <t>TCS GROUP HOLDING PLC GDR</t>
        </is>
      </c>
      <c r="C125" s="47" t="n">
        <v>1889.75</v>
      </c>
      <c r="D125" s="19">
        <f>C125/$C$129</f>
        <v/>
      </c>
      <c r="E125" s="38" t="inlineStr">
        <is>
          <t>X8C4FD3</t>
        </is>
      </c>
    </row>
    <row r="126">
      <c r="A126" s="46" t="n">
        <v>275182</v>
      </c>
      <c r="B126" s="45" t="inlineStr">
        <is>
          <t>X 5 RETAIL GROUP NV-REGS GDR</t>
        </is>
      </c>
      <c r="C126" s="47" t="n">
        <v>1150.48</v>
      </c>
      <c r="D126" s="19">
        <f>C126/$C$129</f>
        <v/>
      </c>
      <c r="E126" s="38" t="inlineStr">
        <is>
          <t>X8C4FD9</t>
        </is>
      </c>
    </row>
    <row r="127">
      <c r="A127" s="46" t="n">
        <v>552780</v>
      </c>
      <c r="B127" s="45" t="inlineStr">
        <is>
          <t>SEVERSTAL PAO GDR USD</t>
        </is>
      </c>
      <c r="C127" s="47" t="n">
        <v>261.37</v>
      </c>
      <c r="D127" s="19">
        <f>C127/$C$129</f>
        <v/>
      </c>
      <c r="E127" s="38" t="inlineStr">
        <is>
          <t>X84C975</t>
        </is>
      </c>
    </row>
    <row r="128">
      <c r="A128" s="28" t="n"/>
      <c r="B128" s="2" t="n"/>
      <c r="C128" s="18" t="n"/>
      <c r="D128" s="19" t="n"/>
      <c r="E128" s="38" t="n"/>
    </row>
    <row r="129">
      <c r="A129" s="28" t="n"/>
      <c r="B129" s="21" t="inlineStr">
        <is>
          <t>Total portfolio</t>
        </is>
      </c>
      <c r="C129" s="39">
        <f>SUM(C12:C37)+SUM(C39:C50)+SUM(C52:C62)+SUM(C64:C104)+SUM(C106:C110)+SUM(C112:C117)+SUM(C119:C127)</f>
        <v/>
      </c>
      <c r="D129" s="19">
        <f>C129/$C$132</f>
        <v/>
      </c>
      <c r="E129" s="20" t="n"/>
    </row>
    <row r="130">
      <c r="A130" s="28" t="n"/>
      <c r="B130" s="21" t="inlineStr">
        <is>
          <t>Net Current Assets</t>
        </is>
      </c>
      <c r="C130" s="39" t="n">
        <v>220239.97</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138"/>
  <sheetViews>
    <sheetView topLeftCell="A112" workbookViewId="0">
      <selection activeCell="B132" sqref="B132"/>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October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35449</v>
      </c>
      <c r="B12" s="2" t="inlineStr">
        <is>
          <t>AL RAJHI BANK COMMON STOCK SAR 10</t>
        </is>
      </c>
      <c r="C12" s="18" t="n">
        <v>645326.0699999999</v>
      </c>
      <c r="D12" s="19">
        <f>C12/$C$131</f>
        <v/>
      </c>
      <c r="E12" s="20" t="inlineStr">
        <is>
          <t>B12LZH9</t>
        </is>
      </c>
    </row>
    <row r="13">
      <c r="A13" s="41" t="n">
        <v>142756</v>
      </c>
      <c r="B13" s="2" t="inlineStr">
        <is>
          <t>QATAR NATIONAL BANK QPSC COMMON STOCK QAR 1</t>
        </is>
      </c>
      <c r="C13" s="18" t="n">
        <v>524540.9300000001</v>
      </c>
      <c r="D13" s="19">
        <f>C13/$C$131</f>
        <v/>
      </c>
      <c r="E13" s="20" t="inlineStr">
        <is>
          <t>6148197</t>
        </is>
      </c>
    </row>
    <row r="14">
      <c r="A14" s="41" t="n">
        <v>2771</v>
      </c>
      <c r="B14" s="2" t="inlineStr">
        <is>
          <t>NASPERS LTD COMMON STOCK ZAR 2</t>
        </is>
      </c>
      <c r="C14" s="18" t="n">
        <v>505206.66</v>
      </c>
      <c r="D14" s="19">
        <f>C14/$C$131</f>
        <v/>
      </c>
      <c r="E14" s="20" t="inlineStr">
        <is>
          <t>BN0VX82</t>
        </is>
      </c>
    </row>
    <row r="15">
      <c r="A15" s="41" t="n">
        <v>143349</v>
      </c>
      <c r="B15" s="45" t="inlineStr">
        <is>
          <t>FIRSTRAND LTD COMMON STOCK ZAR 1</t>
        </is>
      </c>
      <c r="C15" s="33" t="n">
        <v>486169.48</v>
      </c>
      <c r="D15" s="19">
        <f>C15/$C$131</f>
        <v/>
      </c>
      <c r="E15" s="20" t="inlineStr">
        <is>
          <t>6606996</t>
        </is>
      </c>
    </row>
    <row r="16">
      <c r="A16" s="41" t="n">
        <v>40265</v>
      </c>
      <c r="B16" s="2" t="inlineStr">
        <is>
          <t>STANDARD BANK GROUP LTD COMMON STOCK ZAR 10</t>
        </is>
      </c>
      <c r="C16" s="18" t="n">
        <v>427905.34</v>
      </c>
      <c r="D16" s="19">
        <f>C16/$C$131</f>
        <v/>
      </c>
      <c r="E16" s="20" t="inlineStr">
        <is>
          <t>B030GJ7</t>
        </is>
      </c>
    </row>
    <row r="17">
      <c r="A17" s="41" t="n">
        <v>73566</v>
      </c>
      <c r="B17" s="2" t="inlineStr">
        <is>
          <t>SAUDI ARABIAN OIL CO COMMON STOCK SAR</t>
        </is>
      </c>
      <c r="C17" s="18" t="n">
        <v>410603.13</v>
      </c>
      <c r="D17" s="19">
        <f>C17/$C$131</f>
        <v/>
      </c>
      <c r="E17" s="20" t="inlineStr">
        <is>
          <t>BJTM270</t>
        </is>
      </c>
    </row>
    <row r="18">
      <c r="A18" s="41" t="n">
        <v>31177</v>
      </c>
      <c r="B18" s="2" t="inlineStr">
        <is>
          <t>GOLD FIELDS LTD COMMON STOCK ZAR 50</t>
        </is>
      </c>
      <c r="C18" s="33" t="n">
        <v>397998.85</v>
      </c>
      <c r="D18" s="19">
        <f>C18/$C$131</f>
        <v/>
      </c>
      <c r="E18" s="20" t="inlineStr">
        <is>
          <t>6280215</t>
        </is>
      </c>
    </row>
    <row r="19">
      <c r="A19" s="41" t="n">
        <v>210406</v>
      </c>
      <c r="B19" s="2" t="inlineStr">
        <is>
          <t>EMAAR PROPERTIES PJSC COMMON STOCK AED 1</t>
        </is>
      </c>
      <c r="C19" s="33" t="n">
        <v>387198.98</v>
      </c>
      <c r="D19" s="19">
        <f>C19/$C$131</f>
        <v/>
      </c>
      <c r="E19" s="20" t="inlineStr">
        <is>
          <t>B01RM25</t>
        </is>
      </c>
    </row>
    <row r="20">
      <c r="A20" s="41" t="n">
        <v>51456</v>
      </c>
      <c r="B20" s="2" t="inlineStr">
        <is>
          <t>THE SAUDI NATIONAL BANK</t>
        </is>
      </c>
      <c r="C20" s="18" t="n">
        <v>353269.3</v>
      </c>
      <c r="D20" s="19">
        <f>C20/$C$131</f>
        <v/>
      </c>
      <c r="E20" s="20" t="inlineStr">
        <is>
          <t>BSHYYN1</t>
        </is>
      </c>
    </row>
    <row r="21">
      <c r="A21" s="41" t="n">
        <v>8780</v>
      </c>
      <c r="B21" s="2" t="inlineStr">
        <is>
          <t>OTP BANK NYRT COMMON STOCK HUF 100</t>
        </is>
      </c>
      <c r="C21" s="18" t="n">
        <v>340382.85</v>
      </c>
      <c r="D21" s="19">
        <f>C21/$C$131</f>
        <v/>
      </c>
      <c r="E21" s="20" t="inlineStr">
        <is>
          <t>7320154</t>
        </is>
      </c>
    </row>
    <row r="22">
      <c r="A22" s="41" t="n">
        <v>29624</v>
      </c>
      <c r="B22" s="2" t="inlineStr">
        <is>
          <t>POWSZECHNA KASA OSZCZEDNOSCI BANK POLSKI SA COMMON STOCK PLN 1</t>
        </is>
      </c>
      <c r="C22" s="18" t="n">
        <v>320778.87</v>
      </c>
      <c r="D22" s="19">
        <f>C22/$C$131</f>
        <v/>
      </c>
      <c r="E22" s="20" t="inlineStr">
        <is>
          <t>B03NGS5</t>
        </is>
      </c>
    </row>
    <row r="23">
      <c r="A23" s="41" t="n">
        <v>3703</v>
      </c>
      <c r="B23" s="2" t="inlineStr">
        <is>
          <t>JSC KASPI.KZ GDR-REG S</t>
        </is>
      </c>
      <c r="C23" s="18" t="n">
        <v>317231.3</v>
      </c>
      <c r="D23" s="19">
        <f>C23/$C$131</f>
        <v/>
      </c>
      <c r="E23" s="20" t="inlineStr">
        <is>
          <t>BJY21K1</t>
        </is>
      </c>
    </row>
    <row r="24">
      <c r="A24" s="41" t="n">
        <v>22007</v>
      </c>
      <c r="B24" s="2" t="inlineStr">
        <is>
          <t>HALYK SAVINGS BANK OF KAZAKHSTAN JSC GDR USD</t>
        </is>
      </c>
      <c r="C24" s="18" t="n">
        <v>316329.76</v>
      </c>
      <c r="D24" s="19">
        <f>C24/$C$131</f>
        <v/>
      </c>
      <c r="E24" s="20" t="inlineStr">
        <is>
          <t>B1KDG41</t>
        </is>
      </c>
    </row>
    <row r="25">
      <c r="A25" s="41" t="n">
        <v>15105</v>
      </c>
      <c r="B25" s="2" t="inlineStr">
        <is>
          <t>NOVA LJUBLJANSKA BANKA DD GDR EUR</t>
        </is>
      </c>
      <c r="C25" s="18" t="n">
        <v>315053.83</v>
      </c>
      <c r="D25" s="19">
        <f>C25/$C$131</f>
        <v/>
      </c>
      <c r="E25" s="20" t="inlineStr">
        <is>
          <t>BGRPD22</t>
        </is>
      </c>
    </row>
    <row r="26">
      <c r="A26" s="41" t="n">
        <v>78089</v>
      </c>
      <c r="B26" s="2" t="inlineStr">
        <is>
          <t>EMIRATES NBD BANK PJSC COMMON STOCK AED 1</t>
        </is>
      </c>
      <c r="C26" s="18" t="n">
        <v>314195.37</v>
      </c>
      <c r="D26" s="19">
        <f>C26/$C$131</f>
        <v/>
      </c>
      <c r="E26" s="20" t="inlineStr">
        <is>
          <t>B28PFX8</t>
        </is>
      </c>
    </row>
    <row r="27">
      <c r="A27" s="41" t="n">
        <v>9790</v>
      </c>
      <c r="B27" s="2" t="inlineStr">
        <is>
          <t>NAC KAZATOMPROM JSC GDR USD</t>
        </is>
      </c>
      <c r="C27" s="18" t="n">
        <v>297358.92</v>
      </c>
      <c r="D27" s="19">
        <f>C27/$C$131</f>
        <v/>
      </c>
      <c r="E27" s="20" t="inlineStr">
        <is>
          <t>BGXQL36</t>
        </is>
      </c>
    </row>
    <row r="28">
      <c r="A28" s="41" t="n">
        <v>54728</v>
      </c>
      <c r="B28" s="2" t="inlineStr">
        <is>
          <t>RIYAD BANK COMMON STOCK SAR 10</t>
        </is>
      </c>
      <c r="C28" s="18" t="n">
        <v>291292.33</v>
      </c>
      <c r="D28" s="19">
        <f>C28/$C$131</f>
        <v/>
      </c>
      <c r="E28" s="20" t="inlineStr">
        <is>
          <t>B12LZW4</t>
        </is>
      </c>
    </row>
    <row r="29">
      <c r="A29" s="41" t="n">
        <v>49901</v>
      </c>
      <c r="B29" s="2" t="inlineStr">
        <is>
          <t>ALINMA BANK COMMON STOCK SAR 10</t>
        </is>
      </c>
      <c r="C29" s="18" t="n">
        <v>290403.55</v>
      </c>
      <c r="D29" s="19">
        <f>C29/$C$131</f>
        <v/>
      </c>
      <c r="E29" s="20" t="inlineStr">
        <is>
          <t>B39NWT3</t>
        </is>
      </c>
    </row>
    <row r="30">
      <c r="A30" s="41" t="n">
        <v>148768</v>
      </c>
      <c r="B30" s="2" t="inlineStr">
        <is>
          <t>ABU DHABI COMMERCIAL BANK PJSC COMMON STOCK AED 1</t>
        </is>
      </c>
      <c r="C30" s="18" t="n">
        <v>281645.85</v>
      </c>
      <c r="D30" s="19">
        <f>C30/$C$131</f>
        <v/>
      </c>
      <c r="E30" s="20" t="inlineStr">
        <is>
          <t>6545464</t>
        </is>
      </c>
    </row>
    <row r="31">
      <c r="A31" s="41" t="n">
        <v>362649</v>
      </c>
      <c r="B31" s="2" t="inlineStr">
        <is>
          <t>LUKOIL PJSC COMMON STOCK RUB 0.025 RUB</t>
        </is>
      </c>
      <c r="C31" s="18" t="n">
        <v>149477.7</v>
      </c>
      <c r="D31" s="19">
        <f>C31/$C$131</f>
        <v/>
      </c>
      <c r="E31" s="20" t="inlineStr">
        <is>
          <t>X84C974</t>
        </is>
      </c>
    </row>
    <row r="32">
      <c r="A32" s="41" t="n">
        <v>262047</v>
      </c>
      <c r="B32" s="2" t="inlineStr">
        <is>
          <t>LUKOIL PJSC COMMON STOCK RUB</t>
        </is>
      </c>
      <c r="C32" s="18" t="n">
        <v>127103.3</v>
      </c>
      <c r="D32" s="19">
        <f>C32/$C$131</f>
        <v/>
      </c>
      <c r="E32" s="20" t="inlineStr">
        <is>
          <t>X84D1F5</t>
        </is>
      </c>
    </row>
    <row r="33">
      <c r="A33" s="28" t="n"/>
      <c r="B33" s="27" t="inlineStr">
        <is>
          <t>Subtotal</t>
        </is>
      </c>
      <c r="C33" s="29">
        <f>+C32+C31</f>
        <v/>
      </c>
      <c r="D33" s="31">
        <f>C33/$C$134</f>
        <v/>
      </c>
      <c r="E33" s="20" t="n"/>
    </row>
    <row r="34">
      <c r="A34" s="28" t="n">
        <v>19991</v>
      </c>
      <c r="B34" s="2" t="inlineStr">
        <is>
          <t>SHOPRITE HOLDINGS LTD COMMON STOCK ZAR 113.4</t>
        </is>
      </c>
      <c r="C34" s="18" t="n">
        <v>266607.74</v>
      </c>
      <c r="D34" s="19">
        <f>C34/$C$131</f>
        <v/>
      </c>
      <c r="E34" s="20" t="inlineStr">
        <is>
          <t>6801575</t>
        </is>
      </c>
    </row>
    <row r="35">
      <c r="A35" s="28" t="n">
        <v>1247</v>
      </c>
      <c r="B35" s="2" t="inlineStr">
        <is>
          <t>ELM CO COMMON STOCK SAR 10</t>
        </is>
      </c>
      <c r="C35" s="18" t="n">
        <v>264094.03</v>
      </c>
      <c r="D35" s="19">
        <f>C35/$C$131</f>
        <v/>
      </c>
      <c r="E35" s="20" t="inlineStr">
        <is>
          <t>BNYDSH8</t>
        </is>
      </c>
    </row>
    <row r="36">
      <c r="A36" s="28" t="n">
        <v>68294</v>
      </c>
      <c r="B36" s="2" t="inlineStr">
        <is>
          <t>SANLAM LTD COMMON STOCK ZAR 1</t>
        </is>
      </c>
      <c r="C36" s="18" t="n">
        <v>263588.02</v>
      </c>
      <c r="D36" s="19">
        <f>C36/$C$131</f>
        <v/>
      </c>
      <c r="E36" s="20" t="inlineStr">
        <is>
          <t>B0L6750</t>
        </is>
      </c>
    </row>
    <row r="37">
      <c r="A37" s="28" t="n">
        <v>35367</v>
      </c>
      <c r="B37" s="2" t="inlineStr">
        <is>
          <t>ABSA GROUP LTD</t>
        </is>
      </c>
      <c r="C37" s="18" t="n">
        <v>262253.9</v>
      </c>
      <c r="D37" s="19">
        <f>C37/$C$131</f>
        <v/>
      </c>
      <c r="E37" s="20" t="inlineStr">
        <is>
          <t>BFX05H3</t>
        </is>
      </c>
    </row>
    <row r="38">
      <c r="A38" s="28" t="n">
        <v>31227</v>
      </c>
      <c r="B38" s="2" t="inlineStr">
        <is>
          <t>HARMONY GOLD MINING CO LTD COMMON STOCK ZAR 50</t>
        </is>
      </c>
      <c r="C38" s="18" t="n">
        <v>259319.52</v>
      </c>
      <c r="D38" s="19">
        <f>C38/$C$131</f>
        <v/>
      </c>
      <c r="E38" s="20" t="inlineStr">
        <is>
          <t>6410562</t>
        </is>
      </c>
    </row>
    <row r="39">
      <c r="A39" s="28" t="n">
        <v>6209</v>
      </c>
      <c r="B39" s="2" t="inlineStr">
        <is>
          <t>BANK OF GEORGIA GROUP PLC COMMON STOCK GBP 1</t>
        </is>
      </c>
      <c r="C39" s="18" t="n">
        <v>258294.4</v>
      </c>
      <c r="D39" s="19">
        <f>C39/$C$131</f>
        <v/>
      </c>
      <c r="E39" s="20" t="inlineStr">
        <is>
          <t>BF4HYT8</t>
        </is>
      </c>
    </row>
    <row r="40">
      <c r="A40" s="28" t="n">
        <v>9176</v>
      </c>
      <c r="B40" s="2" t="inlineStr">
        <is>
          <t>TBC BANK GROUP PLC COMMON STOCK GBP 1</t>
        </is>
      </c>
      <c r="C40" s="18" t="n">
        <v>252340</v>
      </c>
      <c r="D40" s="19">
        <f>C40/$C$131</f>
        <v/>
      </c>
      <c r="E40" s="20" t="inlineStr">
        <is>
          <t>BYT1830</t>
        </is>
      </c>
    </row>
    <row r="41">
      <c r="A41" s="28" t="n">
        <v>11178</v>
      </c>
      <c r="B41" s="2" t="inlineStr">
        <is>
          <t>RICHTER GEDEON NYRT COMMON STOCK HUF 100</t>
        </is>
      </c>
      <c r="C41" s="18" t="n">
        <v>250600.02</v>
      </c>
      <c r="D41" s="19">
        <f>C41/$C$131</f>
        <v/>
      </c>
      <c r="E41" s="20" t="inlineStr">
        <is>
          <t>BC9ZH86</t>
        </is>
      </c>
    </row>
    <row r="42">
      <c r="A42" s="28" t="n">
        <v>355644</v>
      </c>
      <c r="B42" s="2" t="inlineStr">
        <is>
          <t>ADNOC GAS PLC</t>
        </is>
      </c>
      <c r="C42" s="18" t="n">
        <v>249287.09</v>
      </c>
      <c r="D42" s="19">
        <f>C42/$C$131</f>
        <v/>
      </c>
      <c r="E42" s="20" t="inlineStr">
        <is>
          <t>BPJLW35</t>
        </is>
      </c>
    </row>
    <row r="43">
      <c r="A43" s="28" t="n">
        <v>9088</v>
      </c>
      <c r="B43" s="2" t="inlineStr">
        <is>
          <t>BANK POLSKA KASA OPIEKI SA COMMON STOCK PLN 1</t>
        </is>
      </c>
      <c r="C43" s="18" t="n">
        <v>247254.49</v>
      </c>
      <c r="D43" s="19">
        <f>C43/$C$131</f>
        <v/>
      </c>
      <c r="E43" s="20" t="inlineStr">
        <is>
          <t>5473113</t>
        </is>
      </c>
    </row>
    <row r="44">
      <c r="A44" s="28" t="n">
        <v>88181</v>
      </c>
      <c r="B44" s="2" t="inlineStr">
        <is>
          <t>ABU DHABI ISLAMIC BANK PJSC COMMON STOCK AED 1</t>
        </is>
      </c>
      <c r="C44" s="18" t="n">
        <v>242011.68</v>
      </c>
      <c r="D44" s="19">
        <f>C44/$C$131</f>
        <v/>
      </c>
      <c r="E44" s="20" t="inlineStr">
        <is>
          <t>6001728</t>
        </is>
      </c>
    </row>
    <row r="45">
      <c r="A45" s="28" t="n">
        <v>458472</v>
      </c>
      <c r="B45" s="2" t="inlineStr">
        <is>
          <t>DUBAI ELECTRICITY &amp; WATER AU</t>
        </is>
      </c>
      <c r="C45" s="18" t="n">
        <v>241751.11</v>
      </c>
      <c r="D45" s="19">
        <f>C45/$C$131</f>
        <v/>
      </c>
      <c r="E45" s="20" t="inlineStr">
        <is>
          <t>BJLTVJ4</t>
        </is>
      </c>
    </row>
    <row r="46">
      <c r="A46" s="28" t="n">
        <v>222461</v>
      </c>
      <c r="B46" s="2" t="inlineStr">
        <is>
          <t>ADNOC DRILLING CO PJSC COMMON STOCK AED</t>
        </is>
      </c>
      <c r="C46" s="18" t="n">
        <v>238846.1</v>
      </c>
      <c r="D46" s="19">
        <f>C46/$C$131</f>
        <v/>
      </c>
      <c r="E46" s="20" t="inlineStr">
        <is>
          <t>BN12D39</t>
        </is>
      </c>
    </row>
    <row r="47">
      <c r="A47" s="28" t="n">
        <v>18156</v>
      </c>
      <c r="B47" s="2" t="inlineStr">
        <is>
          <t>BIDVEST GROUP LTD/THE COMMON STOCK ZAR 5</t>
        </is>
      </c>
      <c r="C47" s="18" t="n">
        <v>226567.67</v>
      </c>
      <c r="D47" s="19">
        <f>C47/$C$131</f>
        <v/>
      </c>
      <c r="E47" s="20" t="inlineStr">
        <is>
          <t>6100089</t>
        </is>
      </c>
    </row>
    <row r="48">
      <c r="A48" s="28" t="n">
        <v>8860909</v>
      </c>
      <c r="B48" s="2" t="inlineStr">
        <is>
          <t>GAZPROM PJSC COMMON STOCK RUB</t>
        </is>
      </c>
      <c r="C48" s="18" t="n">
        <v>198486.02</v>
      </c>
      <c r="D48" s="19">
        <f>C48/$C$131</f>
        <v/>
      </c>
      <c r="E48" s="20" t="inlineStr">
        <is>
          <t>X8C529A</t>
        </is>
      </c>
    </row>
    <row r="49">
      <c r="A49" s="28" t="n">
        <v>5365084</v>
      </c>
      <c r="B49" s="2" t="inlineStr">
        <is>
          <t>GAZPROM PJSC ADR</t>
        </is>
      </c>
      <c r="C49" s="18" t="n">
        <v>24262.12</v>
      </c>
      <c r="D49" s="19">
        <f>C49/$C$131</f>
        <v/>
      </c>
      <c r="E49" s="20" t="inlineStr">
        <is>
          <t>X84C976</t>
        </is>
      </c>
    </row>
    <row r="50">
      <c r="A50" s="28" t="n"/>
      <c r="B50" s="27" t="inlineStr">
        <is>
          <t>Subtotal</t>
        </is>
      </c>
      <c r="C50" s="29">
        <f>+C49+C48</f>
        <v/>
      </c>
      <c r="D50" s="31">
        <f>C50/$C$134</f>
        <v/>
      </c>
      <c r="E50" s="38" t="n"/>
    </row>
    <row r="51">
      <c r="A51" s="41" t="n">
        <v>36078</v>
      </c>
      <c r="B51" s="2" t="inlineStr">
        <is>
          <t>NATIONAL BANK OF GREECE SA COMMON STOCK EUR 1</t>
        </is>
      </c>
      <c r="C51" s="18" t="n">
        <v>218742.91</v>
      </c>
      <c r="D51" s="19">
        <f>C51/$C$131</f>
        <v/>
      </c>
      <c r="E51" s="38" t="inlineStr">
        <is>
          <t>BG087C6</t>
        </is>
      </c>
    </row>
    <row r="52">
      <c r="A52" s="41" t="n">
        <v>10435</v>
      </c>
      <c r="B52" s="2" t="inlineStr">
        <is>
          <t>JUMBO SA COMMON STOCK EUR 0.88</t>
        </is>
      </c>
      <c r="C52" s="18" t="n">
        <v>215886.56</v>
      </c>
      <c r="D52" s="19">
        <f>C52/$C$131</f>
        <v/>
      </c>
      <c r="E52" s="38" t="inlineStr">
        <is>
          <t>7243530</t>
        </is>
      </c>
    </row>
    <row r="53">
      <c r="A53" s="41" t="n">
        <v>112308</v>
      </c>
      <c r="B53" s="2" t="inlineStr">
        <is>
          <t>TURKCELL ILETISIM HIZMET AS</t>
        </is>
      </c>
      <c r="C53" s="18" t="n">
        <v>215774.79</v>
      </c>
      <c r="D53" s="19">
        <f>C53/$C$131</f>
        <v/>
      </c>
      <c r="E53" s="38" t="inlineStr">
        <is>
          <t>B03MYN3</t>
        </is>
      </c>
    </row>
    <row r="54">
      <c r="A54" s="41" t="n">
        <v>24635</v>
      </c>
      <c r="B54" s="2" t="inlineStr">
        <is>
          <t>SAUDI TELECOM CO COMMON STOCK</t>
        </is>
      </c>
      <c r="C54" s="18" t="n">
        <v>215048.54</v>
      </c>
      <c r="D54" s="19">
        <f>C54/$C$131</f>
        <v/>
      </c>
      <c r="E54" s="38" t="inlineStr">
        <is>
          <t>B12M7Q5</t>
        </is>
      </c>
    </row>
    <row r="55">
      <c r="A55" s="41" t="n">
        <v>234924</v>
      </c>
      <c r="B55" s="2" t="inlineStr">
        <is>
          <t>PARKIN CO PJSC COMMON STOCK AED 0.02</t>
        </is>
      </c>
      <c r="C55" s="18" t="n">
        <v>211930.42</v>
      </c>
      <c r="D55" s="19">
        <f>C55/$C$131</f>
        <v/>
      </c>
      <c r="E55" s="38" t="inlineStr">
        <is>
          <t>BRRGQF6</t>
        </is>
      </c>
    </row>
    <row r="56">
      <c r="A56" s="41" t="n">
        <v>19988</v>
      </c>
      <c r="B56" s="2" t="inlineStr">
        <is>
          <t>BIM BIRLESIK MAGAZALAR AS COMMON STOCK TRY 1</t>
        </is>
      </c>
      <c r="C56" s="18" t="n">
        <v>211508.38</v>
      </c>
      <c r="D56" s="19">
        <f>C56/$C$131</f>
        <v/>
      </c>
      <c r="E56" s="38" t="inlineStr">
        <is>
          <t>B0D0006</t>
        </is>
      </c>
    </row>
    <row r="57">
      <c r="A57" s="41" t="n">
        <v>14455036</v>
      </c>
      <c r="B57" s="2" t="inlineStr">
        <is>
          <t>SBERBANK OF RUSSIA PJSC PREFERENCE RUB 3</t>
        </is>
      </c>
      <c r="C57" s="18" t="n">
        <v>178619.33</v>
      </c>
      <c r="D57" s="19">
        <f>C57/$C$131</f>
        <v/>
      </c>
      <c r="E57" s="38" t="inlineStr">
        <is>
          <t>X8C6155</t>
        </is>
      </c>
    </row>
    <row r="58">
      <c r="A58" s="41" t="n">
        <v>2355925</v>
      </c>
      <c r="B58" s="2" t="inlineStr">
        <is>
          <t>SBERBANK OF RUSSIA PJSC</t>
        </is>
      </c>
      <c r="C58" s="18" t="n">
        <v>28901.51</v>
      </c>
      <c r="D58" s="19">
        <f>C58/$C$131</f>
        <v/>
      </c>
      <c r="E58" s="38" t="inlineStr">
        <is>
          <t>X8C6398</t>
        </is>
      </c>
    </row>
    <row r="59">
      <c r="A59" s="41" t="n"/>
      <c r="B59" s="27" t="inlineStr">
        <is>
          <t>Subtotal</t>
        </is>
      </c>
      <c r="C59" s="29">
        <f>+C58+C57</f>
        <v/>
      </c>
      <c r="D59" s="31">
        <f>C59/$C$134</f>
        <v/>
      </c>
      <c r="E59" s="38" t="n"/>
    </row>
    <row r="60">
      <c r="A60" s="28" t="n">
        <v>127190</v>
      </c>
      <c r="B60" s="2" t="inlineStr">
        <is>
          <t>EUROBANK ERGASIAS SERVICES AND HOLDINGS SA COMMON STOCK EUR 0.22</t>
        </is>
      </c>
      <c r="C60" s="18" t="n">
        <v>202348.94</v>
      </c>
      <c r="D60" s="19">
        <f>C60/$C$131</f>
        <v/>
      </c>
      <c r="E60" s="38" t="inlineStr">
        <is>
          <t>BYZ43T4</t>
        </is>
      </c>
    </row>
    <row r="61">
      <c r="A61" s="28" t="n">
        <v>7396</v>
      </c>
      <c r="B61" s="2" t="inlineStr">
        <is>
          <t>METLEN ENERGY &amp; METALS SA COMMON STOCK EUR 0.97</t>
        </is>
      </c>
      <c r="C61" s="18" t="n">
        <v>200229.24</v>
      </c>
      <c r="D61" s="19">
        <f>C61/$C$131</f>
        <v/>
      </c>
      <c r="E61" s="38" t="inlineStr">
        <is>
          <t>5898664</t>
        </is>
      </c>
    </row>
    <row r="62">
      <c r="A62" s="28" t="n">
        <v>71</v>
      </c>
      <c r="B62" s="2" t="inlineStr">
        <is>
          <t>LPP SA COMMON STOCK PLN 2</t>
        </is>
      </c>
      <c r="C62" s="18" t="n">
        <v>199918.79</v>
      </c>
      <c r="D62" s="19">
        <f>C62/$C$131</f>
        <v/>
      </c>
      <c r="E62" s="38" t="inlineStr">
        <is>
          <t>7127979</t>
        </is>
      </c>
    </row>
    <row r="63">
      <c r="A63" s="28" t="n">
        <v>25733</v>
      </c>
      <c r="B63" s="2" t="inlineStr">
        <is>
          <t>POWSZECHNY ZAKLAD UBEZPIECZEN SA COMMON STOCK PLN 0.1</t>
        </is>
      </c>
      <c r="C63" s="18" t="n">
        <v>198247.99</v>
      </c>
      <c r="D63" s="19">
        <f>C63/$C$131</f>
        <v/>
      </c>
      <c r="E63" s="38" t="inlineStr">
        <is>
          <t>B63DG21</t>
        </is>
      </c>
    </row>
    <row r="64">
      <c r="A64" s="28" t="n">
        <v>27398</v>
      </c>
      <c r="B64" s="2" t="inlineStr">
        <is>
          <t>SAUDI AWWAL BANK COMMON STOCK SAR 10</t>
        </is>
      </c>
      <c r="C64" s="18" t="n">
        <v>191504.5</v>
      </c>
      <c r="D64" s="19">
        <f>C64/$C$131</f>
        <v/>
      </c>
      <c r="E64" s="38" t="inlineStr">
        <is>
          <t>B12LSY7</t>
        </is>
      </c>
    </row>
    <row r="65">
      <c r="A65" s="28" t="n">
        <v>187852</v>
      </c>
      <c r="B65" s="2" t="inlineStr">
        <is>
          <t>SALIK CO PJSC COMMON STOCK AED 0.01</t>
        </is>
      </c>
      <c r="C65" s="18" t="n">
        <v>190947.23</v>
      </c>
      <c r="D65" s="19">
        <f>C65/$C$131</f>
        <v/>
      </c>
      <c r="E65" s="38" t="inlineStr">
        <is>
          <t>BJN5952</t>
        </is>
      </c>
    </row>
    <row r="66">
      <c r="A66" s="28" t="n">
        <v>2568</v>
      </c>
      <c r="B66" s="2" t="inlineStr">
        <is>
          <t>SAUDIA DAIRY &amp; FOODSTUFF CO COMMON STOCK SAR 10</t>
        </is>
      </c>
      <c r="C66" s="18" t="n">
        <v>190930.72</v>
      </c>
      <c r="D66" s="19">
        <f>C66/$C$131</f>
        <v/>
      </c>
      <c r="E66" s="38" t="inlineStr">
        <is>
          <t>B133P41</t>
        </is>
      </c>
    </row>
    <row r="67">
      <c r="A67" s="28" t="n">
        <v>144384</v>
      </c>
      <c r="B67" s="2" t="inlineStr">
        <is>
          <t>DUBAI ISLAMIC BANK PJSC COMMON STOCK AED 1</t>
        </is>
      </c>
      <c r="C67" s="18" t="n">
        <v>190791.92</v>
      </c>
      <c r="D67" s="19">
        <f>C67/$C$131</f>
        <v/>
      </c>
      <c r="E67" s="38" t="inlineStr">
        <is>
          <t>6283452</t>
        </is>
      </c>
    </row>
    <row r="68">
      <c r="A68" s="41" t="n">
        <v>118206</v>
      </c>
      <c r="B68" s="2" t="inlineStr">
        <is>
          <t>ALDAR PROPERTIES PJSC COMMON STOCK AED 1</t>
        </is>
      </c>
      <c r="C68" s="33" t="n">
        <v>190743.96</v>
      </c>
      <c r="D68" s="19">
        <f>C68/$C$131</f>
        <v/>
      </c>
      <c r="E68" s="38" t="inlineStr">
        <is>
          <t>B0LX3Y2</t>
        </is>
      </c>
    </row>
    <row r="69">
      <c r="A69" s="28" t="n">
        <v>63663</v>
      </c>
      <c r="B69" s="2" t="inlineStr">
        <is>
          <t>PIRAEUS FINANCIAL HOLDINGS SA COMMON STOCK EUR 0.93</t>
        </is>
      </c>
      <c r="C69" s="18" t="n">
        <v>184932.24</v>
      </c>
      <c r="D69" s="19">
        <f>C69/$C$131</f>
        <v/>
      </c>
      <c r="E69" s="38" t="inlineStr">
        <is>
          <t>BNC0DB0</t>
        </is>
      </c>
    </row>
    <row r="70">
      <c r="A70" s="28" t="n">
        <v>156965</v>
      </c>
      <c r="B70" s="2" t="inlineStr">
        <is>
          <t>AKBANK TAS COMMON STOCK TRY 1</t>
        </is>
      </c>
      <c r="C70" s="18" t="n">
        <v>180160.65</v>
      </c>
      <c r="D70" s="19">
        <f>C70/$C$131</f>
        <v/>
      </c>
      <c r="E70" s="38" t="inlineStr">
        <is>
          <t>B03MN70</t>
        </is>
      </c>
    </row>
    <row r="71">
      <c r="A71" s="28" t="n">
        <v>4537</v>
      </c>
      <c r="B71" s="2" t="inlineStr">
        <is>
          <t>LEEJAM SPORTS CO JSC COMMON STOCK SAR 10</t>
        </is>
      </c>
      <c r="C71" s="18" t="n">
        <v>178528.98</v>
      </c>
      <c r="D71" s="19">
        <f>C71/$C$131</f>
        <v/>
      </c>
      <c r="E71" s="38" t="inlineStr">
        <is>
          <t>BF12ZV5</t>
        </is>
      </c>
    </row>
    <row r="72">
      <c r="A72" s="28" t="n">
        <v>74864</v>
      </c>
      <c r="B72" s="2" t="inlineStr">
        <is>
          <t>MAGYAR TELEKOM TELECOMMUNICATIONS PLC COMMON STOCK HUF 100</t>
        </is>
      </c>
      <c r="C72" s="18" t="n">
        <v>178056.8</v>
      </c>
      <c r="D72" s="19">
        <f>C72/$C$131</f>
        <v/>
      </c>
      <c r="E72" s="38" t="inlineStr">
        <is>
          <t>4577469</t>
        </is>
      </c>
    </row>
    <row r="73">
      <c r="A73" s="28" t="n">
        <v>196322</v>
      </c>
      <c r="B73" s="2" t="inlineStr">
        <is>
          <t>QATAR GAS TRANSPORT CO LTD COMMON STOCK QAR 1</t>
        </is>
      </c>
      <c r="C73" s="18" t="n">
        <v>177069.5</v>
      </c>
      <c r="D73" s="19">
        <f>C73/$C$131</f>
        <v/>
      </c>
      <c r="E73" s="38" t="inlineStr">
        <is>
          <t>B0MLBC9</t>
        </is>
      </c>
    </row>
    <row r="74">
      <c r="A74" s="28" t="n">
        <v>6082</v>
      </c>
      <c r="B74" s="2" t="inlineStr">
        <is>
          <t>CO FOR COOPERATIVE INSURANCE/THE COMMON STOCK SAR 10</t>
        </is>
      </c>
      <c r="C74" s="18" t="n">
        <v>176847.89</v>
      </c>
      <c r="D74" s="19">
        <f>C74/$C$131</f>
        <v/>
      </c>
      <c r="E74" s="38" t="inlineStr">
        <is>
          <t>B128FN6</t>
        </is>
      </c>
    </row>
    <row r="75">
      <c r="A75" s="28" t="n">
        <v>32435</v>
      </c>
      <c r="B75" s="2" t="inlineStr">
        <is>
          <t>MOL HUNGARIAN OIL &amp; GAS PLC COMMON STOCK HUF 125</t>
        </is>
      </c>
      <c r="C75" s="18" t="n">
        <v>174545.6</v>
      </c>
      <c r="D75" s="19">
        <f>C75/$C$131</f>
        <v/>
      </c>
      <c r="E75" s="38" t="inlineStr">
        <is>
          <t>BD5ZXH8</t>
        </is>
      </c>
    </row>
    <row r="76">
      <c r="A76" s="28" t="n">
        <v>27950</v>
      </c>
      <c r="B76" s="2" t="inlineStr">
        <is>
          <t>TURK HAVA YOLLARI AO COMMON STOCK TRY 1</t>
        </is>
      </c>
      <c r="C76" s="18" t="n">
        <v>172764.66</v>
      </c>
      <c r="D76" s="19">
        <f>C76/$C$131</f>
        <v/>
      </c>
      <c r="E76" s="38" t="inlineStr">
        <is>
          <t>B03MYK0</t>
        </is>
      </c>
    </row>
    <row r="77">
      <c r="A77" s="28" t="n">
        <v>9725</v>
      </c>
      <c r="B77" s="2" t="inlineStr">
        <is>
          <t>UNITED INTERNATIONAL TRANSPORTATION CO COMMON STOCK SAR 10</t>
        </is>
      </c>
      <c r="C77" s="18" t="n">
        <v>172404.95</v>
      </c>
      <c r="D77" s="19">
        <f>C77/$C$131</f>
        <v/>
      </c>
      <c r="E77" s="38" t="inlineStr">
        <is>
          <t>B2493D0</t>
        </is>
      </c>
    </row>
    <row r="78">
      <c r="A78" s="28" t="n">
        <v>8057</v>
      </c>
      <c r="B78" s="2" t="inlineStr">
        <is>
          <t>RIYADH CABLES GROUP CO COMMON STOCK SAR 10</t>
        </is>
      </c>
      <c r="C78" s="18" t="n">
        <v>170200.13</v>
      </c>
      <c r="D78" s="19">
        <f>C78/$C$131</f>
        <v/>
      </c>
      <c r="E78" s="38" t="inlineStr">
        <is>
          <t>BNBPXW7</t>
        </is>
      </c>
    </row>
    <row r="79">
      <c r="A79" s="28" t="n">
        <v>7008</v>
      </c>
      <c r="B79" s="2" t="inlineStr">
        <is>
          <t>SAUDI ARAMCO BASE OIL CO COMMON STOCK SAR 10</t>
        </is>
      </c>
      <c r="C79" s="18" t="n">
        <v>169811.19</v>
      </c>
      <c r="D79" s="19">
        <f>C79/$C$131</f>
        <v/>
      </c>
      <c r="E79" s="38" t="inlineStr">
        <is>
          <t>BMDKMB5</t>
        </is>
      </c>
    </row>
    <row r="80">
      <c r="A80" s="28" t="n">
        <v>145289</v>
      </c>
      <c r="B80" s="2" t="inlineStr">
        <is>
          <t>ALPHA SERVICES AND HOLDINGS SA COMMON STOCK EUR 0.29</t>
        </is>
      </c>
      <c r="C80" s="18" t="n">
        <v>169247.21</v>
      </c>
      <c r="D80" s="19">
        <f>C80/$C$131</f>
        <v/>
      </c>
      <c r="E80" s="38" t="inlineStr">
        <is>
          <t>BZ1MXR7</t>
        </is>
      </c>
    </row>
    <row r="81">
      <c r="A81" s="28" t="n">
        <v>3863</v>
      </c>
      <c r="B81" s="2" t="inlineStr">
        <is>
          <t>ERSTE GROUP BANK AG COMMON STOCK EUR 0</t>
        </is>
      </c>
      <c r="C81" s="18" t="n">
        <v>167539.34</v>
      </c>
      <c r="D81" s="19">
        <f>C81/$C$131</f>
        <v/>
      </c>
      <c r="E81" s="38" t="inlineStr">
        <is>
          <t>5289837</t>
        </is>
      </c>
    </row>
    <row r="82">
      <c r="A82" s="28" t="n">
        <v>50663</v>
      </c>
      <c r="B82" s="2" t="inlineStr">
        <is>
          <t>TUPRAS-TURKIYE PETROL RAFINE</t>
        </is>
      </c>
      <c r="C82" s="18" t="n">
        <v>166175.04</v>
      </c>
      <c r="D82" s="19">
        <f>C82/$C$131</f>
        <v/>
      </c>
      <c r="E82" s="38" t="inlineStr">
        <is>
          <t>B03MYT9</t>
        </is>
      </c>
    </row>
    <row r="83">
      <c r="A83" s="28" t="n">
        <v>133931</v>
      </c>
      <c r="B83" s="2" t="inlineStr">
        <is>
          <t>ADNOC LOGISTICS &amp; SERVICES COMMON STOCK AED</t>
        </is>
      </c>
      <c r="C83" s="18" t="n">
        <v>164216.2</v>
      </c>
      <c r="D83" s="19">
        <f>C83/$C$131</f>
        <v/>
      </c>
      <c r="E83" s="38" t="inlineStr">
        <is>
          <t>BRBN103</t>
        </is>
      </c>
    </row>
    <row r="84">
      <c r="A84" s="28" t="n">
        <v>1238</v>
      </c>
      <c r="B84" s="2" t="inlineStr">
        <is>
          <t>GRUPA KETY SA COMMON STOCK PLN 2.5</t>
        </is>
      </c>
      <c r="C84" s="18" t="n">
        <v>162643.67</v>
      </c>
      <c r="D84" s="19">
        <f>C84/$C$131</f>
        <v/>
      </c>
      <c r="E84" s="38" t="inlineStr">
        <is>
          <t>5216385</t>
        </is>
      </c>
    </row>
    <row r="85">
      <c r="A85" s="28" t="n">
        <v>12548</v>
      </c>
      <c r="B85" s="2" t="inlineStr">
        <is>
          <t>HELLENIC TELECOMMUNICATIONS ORGANIZATION SA COMMON STOCK EUR 2.83</t>
        </is>
      </c>
      <c r="C85" s="18" t="n">
        <v>160741.19</v>
      </c>
      <c r="D85" s="19">
        <f>C85/$C$131</f>
        <v/>
      </c>
      <c r="E85" s="38" t="inlineStr">
        <is>
          <t>5051605</t>
        </is>
      </c>
    </row>
    <row r="86">
      <c r="A86" s="28" t="n">
        <v>39150</v>
      </c>
      <c r="B86" s="2" t="inlineStr">
        <is>
          <t>ADES HOLDING CO COMMON STOCK SAR 1</t>
        </is>
      </c>
      <c r="C86" s="18" t="n">
        <v>160053.53</v>
      </c>
      <c r="D86" s="19">
        <f>C86/$C$131</f>
        <v/>
      </c>
      <c r="E86" s="38" t="inlineStr">
        <is>
          <t>BR56KM3</t>
        </is>
      </c>
    </row>
    <row r="87">
      <c r="A87" s="28" t="n">
        <v>234111</v>
      </c>
      <c r="B87" s="2" t="inlineStr">
        <is>
          <t>TECOM GROUP PJSC COMMON STOCK AED</t>
        </is>
      </c>
      <c r="C87" s="18" t="n">
        <v>158645.63</v>
      </c>
      <c r="D87" s="19">
        <f>C87/$C$131</f>
        <v/>
      </c>
      <c r="E87" s="38" t="inlineStr">
        <is>
          <t>BLDC8Q1</t>
        </is>
      </c>
    </row>
    <row r="88">
      <c r="A88" s="28" t="n">
        <v>1892</v>
      </c>
      <c r="B88" s="2" t="inlineStr">
        <is>
          <t>KRUK SA COMMON STOCK PLN 1</t>
        </is>
      </c>
      <c r="C88" s="18" t="n">
        <v>157289.04</v>
      </c>
      <c r="D88" s="19">
        <f>C88/$C$131</f>
        <v/>
      </c>
      <c r="E88" s="38" t="inlineStr">
        <is>
          <t>B4PTLY0</t>
        </is>
      </c>
    </row>
    <row r="89">
      <c r="A89" s="28" t="n">
        <v>30065</v>
      </c>
      <c r="B89" s="2" t="inlineStr">
        <is>
          <t>MOTUS HOLDINGS LTD COMMON STOCK ZAR</t>
        </is>
      </c>
      <c r="C89" s="18" t="n">
        <v>155560.9</v>
      </c>
      <c r="D89" s="19">
        <f>C89/$C$131</f>
        <v/>
      </c>
      <c r="E89" s="38" t="inlineStr">
        <is>
          <t>BDRN3H0</t>
        </is>
      </c>
    </row>
    <row r="90">
      <c r="A90" s="28" t="n">
        <v>3695</v>
      </c>
      <c r="B90" s="2" t="inlineStr">
        <is>
          <t>BUPA ARABIA FOR COOPERATIVE INSURANCE CO COMMON STOCK SAR 10</t>
        </is>
      </c>
      <c r="C90" s="18" t="n">
        <v>154120.45</v>
      </c>
      <c r="D90" s="19">
        <f>C90/$C$131</f>
        <v/>
      </c>
      <c r="E90" s="38" t="inlineStr">
        <is>
          <t>B2RLCR0</t>
        </is>
      </c>
    </row>
    <row r="91">
      <c r="A91" s="28" t="n">
        <v>9203</v>
      </c>
      <c r="B91" s="2" t="inlineStr">
        <is>
          <t>MOTOR OIL HELLAS CORINTH REFINERIES SA COMMON STOCK EUR 0.75</t>
        </is>
      </c>
      <c r="C91" s="18" t="n">
        <v>152629.33</v>
      </c>
      <c r="D91" s="19">
        <f>C91/$C$131</f>
        <v/>
      </c>
      <c r="E91" s="38" t="inlineStr">
        <is>
          <t>5996234</t>
        </is>
      </c>
    </row>
    <row r="92">
      <c r="A92" s="28" t="n">
        <v>4593</v>
      </c>
      <c r="B92" s="2" t="inlineStr">
        <is>
          <t>ALKHORAYEF WATER &amp; POWER TECHNOLOGIES CO COMMON STOCK SAR 10</t>
        </is>
      </c>
      <c r="C92" s="18" t="n">
        <v>152576.33</v>
      </c>
      <c r="D92" s="19">
        <f>C92/$C$131</f>
        <v/>
      </c>
      <c r="E92" s="38" t="inlineStr">
        <is>
          <t>BN33QN1</t>
        </is>
      </c>
    </row>
    <row r="93">
      <c r="A93" s="28" t="n">
        <v>5652</v>
      </c>
      <c r="B93" s="2" t="inlineStr">
        <is>
          <t>KOMERCNI BANKA AS COMMON STOCK CZK 100</t>
        </is>
      </c>
      <c r="C93" s="18" t="n">
        <v>151037.21</v>
      </c>
      <c r="D93" s="19">
        <f>C93/$C$131</f>
        <v/>
      </c>
      <c r="E93" s="38" t="inlineStr">
        <is>
          <t>4519449</t>
        </is>
      </c>
    </row>
    <row r="94">
      <c r="A94" s="28" t="n">
        <v>11282</v>
      </c>
      <c r="B94" s="2" t="inlineStr">
        <is>
          <t>OPAP SA COMMON STOCK EUR 0.3</t>
        </is>
      </c>
      <c r="C94" s="18" t="n">
        <v>149382.33</v>
      </c>
      <c r="D94" s="19">
        <f>C94/$C$131</f>
        <v/>
      </c>
      <c r="E94" s="38" t="inlineStr">
        <is>
          <t>7107250</t>
        </is>
      </c>
    </row>
    <row r="95">
      <c r="A95" s="28" t="n">
        <v>22044</v>
      </c>
      <c r="B95" s="2" t="inlineStr">
        <is>
          <t>FOSCHINI GROUP LTD/THE COMMON STOCK ZAR 1.25</t>
        </is>
      </c>
      <c r="C95" s="18" t="n">
        <v>148574.46</v>
      </c>
      <c r="D95" s="19">
        <f>C95/$C$131</f>
        <v/>
      </c>
      <c r="E95" s="38" t="inlineStr">
        <is>
          <t>6349688</t>
        </is>
      </c>
    </row>
    <row r="96">
      <c r="A96" s="28" t="n">
        <v>60427</v>
      </c>
      <c r="B96" s="2" t="inlineStr">
        <is>
          <t>OOREDOO QPSC COMMON STOCK QAR 1</t>
        </is>
      </c>
      <c r="C96" s="18" t="n">
        <v>146773.64</v>
      </c>
      <c r="D96" s="19">
        <f>C96/$C$131</f>
        <v/>
      </c>
      <c r="E96" s="38" t="inlineStr">
        <is>
          <t>6158174</t>
        </is>
      </c>
    </row>
    <row r="97">
      <c r="A97" s="28" t="n">
        <v>30154</v>
      </c>
      <c r="B97" s="2" t="inlineStr">
        <is>
          <t>AVI LTD COMMON STOCK ZAR 5</t>
        </is>
      </c>
      <c r="C97" s="18" t="n">
        <v>145448.4</v>
      </c>
      <c r="D97" s="19">
        <f>C97/$C$131</f>
        <v/>
      </c>
      <c r="E97" s="38" t="inlineStr">
        <is>
          <t>6040958</t>
        </is>
      </c>
    </row>
    <row r="98">
      <c r="A98" s="28" t="n">
        <v>15514</v>
      </c>
      <c r="B98" s="2" t="inlineStr">
        <is>
          <t>SARANTIS SA EUR1.53</t>
        </is>
      </c>
      <c r="C98" s="18" t="n">
        <v>144368.51</v>
      </c>
      <c r="D98" s="19">
        <f>C98/$C$131</f>
        <v/>
      </c>
      <c r="E98" s="38" t="inlineStr">
        <is>
          <t>7124958</t>
        </is>
      </c>
    </row>
    <row r="99">
      <c r="A99" s="28" t="n">
        <v>257214</v>
      </c>
      <c r="B99" s="2" t="inlineStr">
        <is>
          <t>YAPI VE KREDI BANKASI AS COMMON STOCK TRY 1</t>
        </is>
      </c>
      <c r="C99" s="18" t="n">
        <v>142827.75</v>
      </c>
      <c r="D99" s="19">
        <f>C99/$C$131</f>
        <v/>
      </c>
      <c r="E99" s="38" t="inlineStr">
        <is>
          <t>B03MZJ6</t>
        </is>
      </c>
    </row>
    <row r="100">
      <c r="A100" s="28" t="n">
        <v>1268490</v>
      </c>
      <c r="B100" s="2" t="inlineStr">
        <is>
          <t>NOVATEK PJSC COMMON STOCK RUB 0.1</t>
        </is>
      </c>
      <c r="C100" s="18" t="n">
        <v>128746.76</v>
      </c>
      <c r="D100" s="19">
        <f>C100/$C$131</f>
        <v/>
      </c>
      <c r="E100" s="38" t="inlineStr">
        <is>
          <t>X84C972</t>
        </is>
      </c>
    </row>
    <row r="101">
      <c r="A101" s="28" t="n">
        <v>103572</v>
      </c>
      <c r="B101" s="2" t="inlineStr">
        <is>
          <t>NOVATEK PJSC COMMON STOCK RUB 0.1</t>
        </is>
      </c>
      <c r="C101" s="18" t="n">
        <v>12370.27</v>
      </c>
      <c r="D101" s="19">
        <f>C101/$C$131</f>
        <v/>
      </c>
      <c r="E101" s="38" t="inlineStr">
        <is>
          <t>X84C970</t>
        </is>
      </c>
    </row>
    <row r="102">
      <c r="A102" s="28" t="n"/>
      <c r="B102" s="27" t="inlineStr">
        <is>
          <t>Subtotal</t>
        </is>
      </c>
      <c r="C102" s="29">
        <f>+C101+C100</f>
        <v/>
      </c>
      <c r="D102" s="31">
        <f>C102/$C$134</f>
        <v/>
      </c>
      <c r="E102" s="38" t="n"/>
    </row>
    <row r="103">
      <c r="A103" s="28" t="n">
        <v>31957</v>
      </c>
      <c r="B103" s="2" t="inlineStr">
        <is>
          <t>ARABIAN CENTRES CO COMMON STOCK SAR 10</t>
        </is>
      </c>
      <c r="C103" s="18" t="n">
        <v>136206.46</v>
      </c>
      <c r="D103" s="19">
        <f>C103/$C$131</f>
        <v/>
      </c>
      <c r="E103" s="38" t="inlineStr">
        <is>
          <t>BKBF694</t>
        </is>
      </c>
    </row>
    <row r="104">
      <c r="A104" s="28" t="n">
        <v>7119200</v>
      </c>
      <c r="B104" s="2" t="inlineStr">
        <is>
          <t>MMC NORILSK NICKEL PJSC COMMON STOCK RUB 1</t>
        </is>
      </c>
      <c r="C104" s="18" t="n">
        <v>133658.33</v>
      </c>
      <c r="D104" s="19">
        <f>C104/$C$131</f>
        <v/>
      </c>
      <c r="E104" s="38" t="inlineStr">
        <is>
          <t>X84C977</t>
        </is>
      </c>
    </row>
    <row r="105">
      <c r="A105" s="28" t="n">
        <v>453680</v>
      </c>
      <c r="B105" s="2" t="inlineStr">
        <is>
          <t>TURKIYE SIGORTA AS COMMON STOCK TRY 1</t>
        </is>
      </c>
      <c r="C105" s="18" t="n">
        <v>132856.4</v>
      </c>
      <c r="D105" s="19">
        <f>C105/$C$131</f>
        <v/>
      </c>
      <c r="E105" s="38" t="inlineStr">
        <is>
          <t>B03MTD8</t>
        </is>
      </c>
    </row>
    <row r="106">
      <c r="A106" s="28" t="n">
        <v>27608</v>
      </c>
      <c r="B106" s="2" t="inlineStr">
        <is>
          <t>BANCA TRANSILVANIA SA COMMON STOCK RON 1</t>
        </is>
      </c>
      <c r="C106" s="18" t="n">
        <v>131694.66</v>
      </c>
      <c r="D106" s="19">
        <f>C106/$C$131</f>
        <v/>
      </c>
      <c r="E106" s="38" t="inlineStr">
        <is>
          <t>5393307</t>
        </is>
      </c>
    </row>
    <row r="107">
      <c r="A107" s="28" t="n">
        <v>4570</v>
      </c>
      <c r="B107" s="2" t="inlineStr">
        <is>
          <t>ALDREES PETROLEUM AND TRANSPORT SERVICES CO COMMON STOCK SAR 10</t>
        </is>
      </c>
      <c r="C107" s="18" t="n">
        <v>130800.86</v>
      </c>
      <c r="D107" s="19">
        <f>C107/$C$131</f>
        <v/>
      </c>
      <c r="E107" s="38" t="inlineStr">
        <is>
          <t>B128FF8</t>
        </is>
      </c>
    </row>
    <row r="108">
      <c r="A108" s="28" t="n">
        <v>53407</v>
      </c>
      <c r="B108" s="2" t="inlineStr">
        <is>
          <t>TURKIYE GARANTI BANKASI AS COMMON STOCK TRY 1</t>
        </is>
      </c>
      <c r="C108" s="18" t="n">
        <v>129503.79</v>
      </c>
      <c r="D108" s="19">
        <f>C108/$C$131</f>
        <v/>
      </c>
      <c r="E108" s="38" t="inlineStr">
        <is>
          <t>B03MYP5</t>
        </is>
      </c>
    </row>
    <row r="109">
      <c r="A109" s="28" t="n">
        <v>5574</v>
      </c>
      <c r="B109" s="2" t="inlineStr">
        <is>
          <t>ARABIAN DRILLING CO COMMON STOCK SAR 10</t>
        </is>
      </c>
      <c r="C109" s="18" t="n">
        <v>126983.12</v>
      </c>
      <c r="D109" s="19">
        <f>C109/$C$131</f>
        <v/>
      </c>
      <c r="E109" s="38" t="inlineStr">
        <is>
          <t>BPNZYP9</t>
        </is>
      </c>
    </row>
    <row r="110">
      <c r="A110" s="28" t="n">
        <v>8660</v>
      </c>
      <c r="B110" s="2" t="inlineStr">
        <is>
          <t>RAIFFEISEN BANK INTERNATIONAL AG COMMON STOCK EUR 0</t>
        </is>
      </c>
      <c r="C110" s="18" t="n">
        <v>120734.68</v>
      </c>
      <c r="D110" s="19">
        <f>C110/$C$131</f>
        <v/>
      </c>
      <c r="E110" s="38" t="inlineStr">
        <is>
          <t>B0704T9</t>
        </is>
      </c>
    </row>
    <row r="111">
      <c r="A111" s="28" t="n">
        <v>2041744</v>
      </c>
      <c r="B111" s="2" t="inlineStr">
        <is>
          <t>ROSNEFT OIL CO PJSC COMMON STOCK RUB 0.01</t>
        </is>
      </c>
      <c r="C111" s="18" t="n">
        <v>59115.4</v>
      </c>
      <c r="D111" s="19">
        <f>C111/$C$131</f>
        <v/>
      </c>
      <c r="E111" s="38" t="inlineStr">
        <is>
          <t>X84C971</t>
        </is>
      </c>
    </row>
    <row r="112">
      <c r="A112" s="28" t="n">
        <v>1677948</v>
      </c>
      <c r="B112" s="2" t="inlineStr">
        <is>
          <t>ROSNEFT OIL CO PJSC COMMON STOCK RUB</t>
        </is>
      </c>
      <c r="C112" s="18" t="n">
        <v>41334.9</v>
      </c>
      <c r="D112" s="19">
        <f>C112/$C$131</f>
        <v/>
      </c>
      <c r="E112" s="38" t="inlineStr">
        <is>
          <t>X84D1F9</t>
        </is>
      </c>
    </row>
    <row r="113">
      <c r="A113" s="28" t="n"/>
      <c r="B113" s="27" t="inlineStr">
        <is>
          <t>Subtotal</t>
        </is>
      </c>
      <c r="C113" s="29">
        <f>+C112+C111</f>
        <v/>
      </c>
      <c r="D113" s="31">
        <f>C113/$C$134</f>
        <v/>
      </c>
      <c r="E113" s="38" t="n"/>
    </row>
    <row r="114">
      <c r="A114" s="28" t="n">
        <v>4083</v>
      </c>
      <c r="B114" s="2" t="inlineStr">
        <is>
          <t>CLICKS GROUP LTD COMMON STOCK ZAR 1</t>
        </is>
      </c>
      <c r="C114" s="18" t="n">
        <v>67590.47</v>
      </c>
      <c r="D114" s="19">
        <f>C114/$C$131</f>
        <v/>
      </c>
      <c r="E114" s="38" t="inlineStr">
        <is>
          <t>6105578</t>
        </is>
      </c>
    </row>
    <row r="115">
      <c r="A115" s="28" t="n">
        <v>3657350</v>
      </c>
      <c r="B115" s="2" t="inlineStr">
        <is>
          <t>NOVOLIPETSK STEEL PJSC COMMON STOCK RUB</t>
        </is>
      </c>
      <c r="C115" s="18" t="n">
        <v>54847.32</v>
      </c>
      <c r="D115" s="19">
        <f>C115/$C$131</f>
        <v/>
      </c>
      <c r="E115" s="38" t="inlineStr">
        <is>
          <t>X84C97E</t>
        </is>
      </c>
    </row>
    <row r="116">
      <c r="A116" s="28" t="n">
        <v>180877</v>
      </c>
      <c r="B116" s="2" t="inlineStr">
        <is>
          <t>MAGNIT PJSC COMMON STOCK RUB 0.01</t>
        </is>
      </c>
      <c r="C116" s="18" t="n">
        <v>52710.08</v>
      </c>
      <c r="D116" s="19">
        <f>C116/$C$131</f>
        <v/>
      </c>
      <c r="E116" s="38" t="inlineStr">
        <is>
          <t>X8C505A</t>
        </is>
      </c>
    </row>
    <row r="117">
      <c r="A117" s="28" t="n">
        <v>1265335</v>
      </c>
      <c r="B117" s="2" t="inlineStr">
        <is>
          <t>GAZPROM NEFT PJSC COMMON STOCK RUB</t>
        </is>
      </c>
      <c r="C117" s="18" t="n">
        <v>47632.4</v>
      </c>
      <c r="D117" s="19">
        <f>C117/$C$131</f>
        <v/>
      </c>
      <c r="E117" s="38" t="inlineStr">
        <is>
          <t>X84D1F6</t>
        </is>
      </c>
    </row>
    <row r="118">
      <c r="A118" s="28" t="n">
        <v>730066</v>
      </c>
      <c r="B118" s="2" t="inlineStr">
        <is>
          <t>TATNEFT PJSC COMMON STOCK RUB</t>
        </is>
      </c>
      <c r="C118" s="18" t="n">
        <v>25760.4</v>
      </c>
      <c r="D118" s="19">
        <f>C118/$C$131</f>
        <v/>
      </c>
      <c r="E118" s="38" t="inlineStr">
        <is>
          <t>X84C973</t>
        </is>
      </c>
    </row>
    <row r="119">
      <c r="A119" s="28" t="n">
        <v>571359</v>
      </c>
      <c r="B119" s="2" t="inlineStr">
        <is>
          <t>TATNEFT PJSC PREFERENCE RUB 1</t>
        </is>
      </c>
      <c r="C119" s="18" t="n">
        <v>17853.47</v>
      </c>
      <c r="D119" s="19">
        <f>C119/$C$131</f>
        <v/>
      </c>
      <c r="E119" s="38" t="inlineStr">
        <is>
          <t>X8C6150</t>
        </is>
      </c>
    </row>
    <row r="120">
      <c r="A120" s="28" t="n"/>
      <c r="B120" s="27" t="inlineStr">
        <is>
          <t>Subtotal</t>
        </is>
      </c>
      <c r="C120" s="29">
        <f>+C119+C118</f>
        <v/>
      </c>
      <c r="D120" s="31">
        <f>C120/$C$134</f>
        <v/>
      </c>
      <c r="E120" s="38" t="n"/>
    </row>
    <row r="121">
      <c r="A121" s="28" t="n">
        <v>6156103</v>
      </c>
      <c r="B121" s="2" t="inlineStr">
        <is>
          <t>ROSTELECOM PJSC COMMON STOCK RUB</t>
        </is>
      </c>
      <c r="C121" s="18" t="n">
        <v>41087.8</v>
      </c>
      <c r="D121" s="19">
        <f>C121/$C$131</f>
        <v/>
      </c>
      <c r="E121" s="38" t="inlineStr">
        <is>
          <t>X84C978</t>
        </is>
      </c>
    </row>
    <row r="122">
      <c r="A122" s="28" t="n">
        <v>4246654</v>
      </c>
      <c r="B122" s="2" t="inlineStr">
        <is>
          <t>VTB BANK PJSC COMMON STOCK RUB 0.01</t>
        </is>
      </c>
      <c r="C122" s="18" t="n">
        <v>39967.73</v>
      </c>
      <c r="D122" s="19">
        <f>C122/$C$131</f>
        <v/>
      </c>
      <c r="E122" s="38" t="inlineStr">
        <is>
          <t>X8C6392</t>
        </is>
      </c>
    </row>
    <row r="123">
      <c r="A123" s="28" t="n">
        <v>29773</v>
      </c>
      <c r="B123" s="2" t="inlineStr">
        <is>
          <t>POLYUS PJSC COMMON STOCK RUB</t>
        </is>
      </c>
      <c r="C123" s="18" t="n">
        <v>26489.34</v>
      </c>
      <c r="D123" s="19">
        <f>C123/$C$131</f>
        <v/>
      </c>
      <c r="E123" s="38" t="inlineStr">
        <is>
          <t>X84D1F8</t>
        </is>
      </c>
    </row>
    <row r="124">
      <c r="A124" s="28" t="n">
        <v>432517</v>
      </c>
      <c r="B124" s="2" t="inlineStr">
        <is>
          <t>MD MEDICAL GROUP INVESTMENTS PLC GDR USD</t>
        </is>
      </c>
      <c r="C124" s="18" t="n">
        <v>19175.88</v>
      </c>
      <c r="D124" s="19">
        <f>C124/$C$131</f>
        <v/>
      </c>
      <c r="E124" s="38" t="inlineStr">
        <is>
          <t>X8C6397</t>
        </is>
      </c>
    </row>
    <row r="125">
      <c r="A125" s="28" t="n">
        <v>12313057</v>
      </c>
      <c r="B125" s="2" t="inlineStr">
        <is>
          <t>SISTEMA PJSFC COMMON STOCK RUB 0.09</t>
        </is>
      </c>
      <c r="C125" s="18" t="n">
        <v>14412.97</v>
      </c>
      <c r="D125" s="19">
        <f>C125/$C$131</f>
        <v/>
      </c>
      <c r="E125" s="38" t="inlineStr">
        <is>
          <t>X84D1F7</t>
        </is>
      </c>
    </row>
    <row r="126">
      <c r="A126" s="28" t="n">
        <v>577525</v>
      </c>
      <c r="B126" s="2" t="inlineStr">
        <is>
          <t>FIX PRICE GROUP LTD GDR</t>
        </is>
      </c>
      <c r="C126" s="18" t="n">
        <v>4222.56</v>
      </c>
      <c r="D126" s="19">
        <f>C126/$C$131</f>
        <v/>
      </c>
      <c r="E126" s="38" t="inlineStr">
        <is>
          <t>X84CF24</t>
        </is>
      </c>
    </row>
    <row r="127">
      <c r="A127" s="28" t="n">
        <v>75226</v>
      </c>
      <c r="B127" s="2" t="inlineStr">
        <is>
          <t>TCS GROUP HOLDING PLC GDR</t>
        </is>
      </c>
      <c r="C127" s="18" t="n">
        <v>1868.29</v>
      </c>
      <c r="D127" s="19">
        <f>C127/$C$131</f>
        <v/>
      </c>
      <c r="E127" s="38" t="inlineStr">
        <is>
          <t>X8C4FD3</t>
        </is>
      </c>
    </row>
    <row r="128">
      <c r="A128" s="28" t="n">
        <v>275182</v>
      </c>
      <c r="B128" s="2" t="inlineStr">
        <is>
          <t>X 5 RETAIL GROUP NV-REGS GDR</t>
        </is>
      </c>
      <c r="C128" s="18" t="n">
        <v>1137.42</v>
      </c>
      <c r="D128" s="19">
        <f>C128/$C$131</f>
        <v/>
      </c>
      <c r="E128" s="38" t="inlineStr">
        <is>
          <t>X8C4FD9</t>
        </is>
      </c>
    </row>
    <row r="129">
      <c r="A129" s="28" t="n">
        <v>552780</v>
      </c>
      <c r="B129" s="2" t="inlineStr">
        <is>
          <t>SEVERSTAL PAO GDR USD</t>
        </is>
      </c>
      <c r="C129" s="18" t="n">
        <v>258.41</v>
      </c>
      <c r="D129" s="19">
        <f>C129/$C$131</f>
        <v/>
      </c>
      <c r="E129" s="38" t="inlineStr">
        <is>
          <t>X84C975</t>
        </is>
      </c>
    </row>
    <row r="130">
      <c r="A130" s="28" t="n"/>
      <c r="B130" s="2" t="n"/>
      <c r="C130" s="18" t="n"/>
      <c r="D130" s="19" t="n"/>
      <c r="E130" s="38" t="n"/>
    </row>
    <row r="131">
      <c r="A131" s="28" t="n"/>
      <c r="B131" s="21" t="inlineStr">
        <is>
          <t>Total portfolio</t>
        </is>
      </c>
      <c r="C131" s="39">
        <f>SUM(C12:C32)+SUM(C34:C49)+SUM(C51:C58)+SUM(C60:C101)+SUM(C103:C112)+SUM(C114:C119)+SUM(C121:C129)</f>
        <v/>
      </c>
      <c r="D131" s="19">
        <f>C131/$C$134</f>
        <v/>
      </c>
      <c r="E131" s="20" t="n"/>
    </row>
    <row r="132">
      <c r="A132" s="28" t="n"/>
      <c r="B132" s="21" t="inlineStr">
        <is>
          <t>Net Current Assets</t>
        </is>
      </c>
      <c r="C132" s="39" t="n">
        <v>-86627.28999999957</v>
      </c>
      <c r="D132" s="19">
        <f>C132/$C$134</f>
        <v/>
      </c>
      <c r="E132" s="20" t="n"/>
    </row>
    <row r="133">
      <c r="A133" s="28" t="n"/>
      <c r="B133" s="21" t="n"/>
      <c r="C133" s="39" t="n"/>
      <c r="D133" s="32" t="n"/>
      <c r="E133" s="20" t="n"/>
    </row>
    <row r="134">
      <c r="A134" s="17" t="n"/>
      <c r="B134" s="21" t="inlineStr">
        <is>
          <t>Total Assets</t>
        </is>
      </c>
      <c r="C134" s="22">
        <f>C131+C132</f>
        <v/>
      </c>
      <c r="D134" s="19">
        <f>C134/$C$134</f>
        <v/>
      </c>
      <c r="E134" s="3" t="n"/>
    </row>
    <row r="135" ht="12.75" customHeight="1" s="42">
      <c r="A13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6"/>
    <row r="137"/>
    <row r="138"/>
  </sheetData>
  <mergeCells count="2">
    <mergeCell ref="A135:E138"/>
    <mergeCell ref="A3:E6"/>
  </mergeCells>
  <conditionalFormatting sqref="B12:B14">
    <cfRule type="containsText" priority="2" operator="containsText" dxfId="0" text="LIQUIDITY">
      <formula>NOT(ISERROR(SEARCH("LIQUIDITY",B12)))</formula>
    </cfRule>
  </conditionalFormatting>
  <conditionalFormatting sqref="B16:B130">
    <cfRule type="containsText" priority="1" operator="containsText" dxfId="0" text="LIQUIDITY">
      <formula>NOT(ISERROR(SEARCH("LIQUIDITY",B16)))</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E139"/>
  <sheetViews>
    <sheetView topLeftCell="A113" workbookViewId="0">
      <selection activeCell="B133" sqref="B133"/>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September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32585</v>
      </c>
      <c r="B12" s="2" t="inlineStr">
        <is>
          <t>AL RAJHI BANK COMMON STOCK SAR 10</t>
        </is>
      </c>
      <c r="C12" s="18" t="n">
        <v>564675.21</v>
      </c>
      <c r="D12" s="19">
        <f>C12/$C$132</f>
        <v/>
      </c>
      <c r="E12" s="20" t="inlineStr">
        <is>
          <t>B12LZH9</t>
        </is>
      </c>
    </row>
    <row r="13">
      <c r="A13" s="41" t="n">
        <v>514330.73</v>
      </c>
      <c r="B13" s="2" t="inlineStr">
        <is>
          <t>JPM GBP LIQUIDITY LVNAV X (DIST.)</t>
        </is>
      </c>
      <c r="C13" s="18" t="n">
        <v>514330.73</v>
      </c>
      <c r="D13" s="19">
        <f>C13/$C$132</f>
        <v/>
      </c>
      <c r="E13" s="20" t="inlineStr">
        <is>
          <t>5819115</t>
        </is>
      </c>
    </row>
    <row r="14">
      <c r="A14" s="41" t="n">
        <v>142756</v>
      </c>
      <c r="B14" s="2" t="inlineStr">
        <is>
          <t>QATAR NATIONAL BANK QPSC COMMON STOCK QAR 1</t>
        </is>
      </c>
      <c r="C14" s="18" t="n">
        <v>495159.35</v>
      </c>
      <c r="D14" s="19">
        <f>C14/$C$132</f>
        <v/>
      </c>
      <c r="E14" s="20" t="inlineStr">
        <is>
          <t>6148197</t>
        </is>
      </c>
    </row>
    <row r="15">
      <c r="A15" s="41" t="n">
        <v>121145</v>
      </c>
      <c r="B15" s="45" t="inlineStr">
        <is>
          <t>FIRSTRAND LTD COMMON STOCK ZAR 1</t>
        </is>
      </c>
      <c r="C15" s="33" t="n">
        <v>435318.39</v>
      </c>
      <c r="D15" s="19">
        <f>C15/$C$132</f>
        <v/>
      </c>
      <c r="E15" s="20" t="inlineStr">
        <is>
          <t>6606996</t>
        </is>
      </c>
    </row>
    <row r="16">
      <c r="A16" s="41" t="n">
        <v>73566</v>
      </c>
      <c r="B16" s="2" t="inlineStr">
        <is>
          <t>SAUDI ARABIAN OIL CO COMMON STOCK SAR</t>
        </is>
      </c>
      <c r="C16" s="18" t="n">
        <v>396196.78</v>
      </c>
      <c r="D16" s="19">
        <f>C16/$C$132</f>
        <v/>
      </c>
      <c r="E16" s="20" t="inlineStr">
        <is>
          <t>BJTM270</t>
        </is>
      </c>
    </row>
    <row r="17">
      <c r="A17" s="41" t="n">
        <v>2142</v>
      </c>
      <c r="B17" s="2" t="inlineStr">
        <is>
          <t>NASPERS LTD COMMON STOCK ZAR 2</t>
        </is>
      </c>
      <c r="C17" s="18" t="n">
        <v>388732.34</v>
      </c>
      <c r="D17" s="19">
        <f>C17/$C$132</f>
        <v/>
      </c>
      <c r="E17" s="20" t="inlineStr">
        <is>
          <t>BN0VX82</t>
        </is>
      </c>
    </row>
    <row r="18">
      <c r="A18" s="41" t="n">
        <v>35497</v>
      </c>
      <c r="B18" s="2" t="inlineStr">
        <is>
          <t>STANDARD BANK GROUP LTD COMMON STOCK ZAR 10</t>
        </is>
      </c>
      <c r="C18" s="33" t="n">
        <v>372172.49</v>
      </c>
      <c r="D18" s="19">
        <f>C18/$C$132</f>
        <v/>
      </c>
      <c r="E18" s="20" t="inlineStr">
        <is>
          <t>B030GJ7</t>
        </is>
      </c>
    </row>
    <row r="19">
      <c r="A19" s="41" t="n">
        <v>210406</v>
      </c>
      <c r="B19" s="2" t="inlineStr">
        <is>
          <t>EMAAR PROPERTIES PJSC COMMON STOCK AED 1</t>
        </is>
      </c>
      <c r="C19" s="33" t="n">
        <v>368130.96</v>
      </c>
      <c r="D19" s="19">
        <f>C19/$C$132</f>
        <v/>
      </c>
      <c r="E19" s="20" t="inlineStr">
        <is>
          <t>B01RM25</t>
        </is>
      </c>
    </row>
    <row r="20">
      <c r="A20" s="41" t="n">
        <v>31177</v>
      </c>
      <c r="B20" s="2" t="inlineStr">
        <is>
          <t>GOLD FIELDS LTD COMMON STOCK ZAR 50</t>
        </is>
      </c>
      <c r="C20" s="18" t="n">
        <v>362594.87</v>
      </c>
      <c r="D20" s="19">
        <f>C20/$C$132</f>
        <v/>
      </c>
      <c r="E20" s="20" t="inlineStr">
        <is>
          <t>6280215</t>
        </is>
      </c>
    </row>
    <row r="21">
      <c r="A21" s="41" t="n">
        <v>51456</v>
      </c>
      <c r="B21" s="2" t="inlineStr">
        <is>
          <t>THE SAUDI NATIONAL BANK</t>
        </is>
      </c>
      <c r="C21" s="18" t="n">
        <v>350747.55</v>
      </c>
      <c r="D21" s="19">
        <f>C21/$C$132</f>
        <v/>
      </c>
      <c r="E21" s="20" t="inlineStr">
        <is>
          <t>BSHYYN1</t>
        </is>
      </c>
    </row>
    <row r="22">
      <c r="A22" s="41" t="n">
        <v>8780</v>
      </c>
      <c r="B22" s="2" t="inlineStr">
        <is>
          <t>OTP BANK NYRT COMMON STOCK HUF 100</t>
        </is>
      </c>
      <c r="C22" s="18" t="n">
        <v>345259.58</v>
      </c>
      <c r="D22" s="19">
        <f>C22/$C$132</f>
        <v/>
      </c>
      <c r="E22" s="20" t="inlineStr">
        <is>
          <t>7320154</t>
        </is>
      </c>
    </row>
    <row r="23">
      <c r="A23" s="41" t="n">
        <v>29624</v>
      </c>
      <c r="B23" s="2" t="inlineStr">
        <is>
          <t>POWSZECHNA KASA OSZCZEDNOSCI BANK POLSKI SA COMMON STOCK PLN 1</t>
        </is>
      </c>
      <c r="C23" s="18" t="n">
        <v>322271.51</v>
      </c>
      <c r="D23" s="19">
        <f>C23/$C$132</f>
        <v/>
      </c>
      <c r="E23" s="20" t="inlineStr">
        <is>
          <t>B03NGS5</t>
        </is>
      </c>
    </row>
    <row r="24">
      <c r="A24" s="41" t="n">
        <v>78089</v>
      </c>
      <c r="B24" s="2" t="inlineStr">
        <is>
          <t>EMIRATES NBD BANK PJSC COMMON STOCK AED 1</t>
        </is>
      </c>
      <c r="C24" s="18" t="n">
        <v>321753.18</v>
      </c>
      <c r="D24" s="19">
        <f>C24/$C$132</f>
        <v/>
      </c>
      <c r="E24" s="20" t="inlineStr">
        <is>
          <t>B28PFX8</t>
        </is>
      </c>
    </row>
    <row r="25">
      <c r="A25" s="41" t="n">
        <v>22007</v>
      </c>
      <c r="B25" s="2" t="inlineStr">
        <is>
          <t>HALYK SAVINGS BANK OF KAZAKHSTAN JSC GDR USD</t>
        </is>
      </c>
      <c r="C25" s="18" t="n">
        <v>288099.99</v>
      </c>
      <c r="D25" s="19">
        <f>C25/$C$132</f>
        <v/>
      </c>
      <c r="E25" s="20" t="inlineStr">
        <is>
          <t>B1KDG41</t>
        </is>
      </c>
    </row>
    <row r="26">
      <c r="A26" s="41" t="n">
        <v>49901</v>
      </c>
      <c r="B26" s="2" t="inlineStr">
        <is>
          <t>ALINMA BANK COMMON STOCK SAR 10</t>
        </is>
      </c>
      <c r="C26" s="18" t="n">
        <v>282630.23</v>
      </c>
      <c r="D26" s="19">
        <f>C26/$C$132</f>
        <v/>
      </c>
      <c r="E26" s="20" t="inlineStr">
        <is>
          <t>B39NWT3</t>
        </is>
      </c>
    </row>
    <row r="27">
      <c r="A27" s="41" t="n">
        <v>362649</v>
      </c>
      <c r="B27" s="2" t="inlineStr">
        <is>
          <t>LUKOIL PJSC COMMON STOCK RUB 0.025 RUB</t>
        </is>
      </c>
      <c r="C27" s="18" t="n">
        <v>149616.8</v>
      </c>
      <c r="D27" s="19">
        <f>C27/$C$132</f>
        <v/>
      </c>
      <c r="E27" s="20" t="inlineStr">
        <is>
          <t>2H6442S</t>
        </is>
      </c>
    </row>
    <row r="28">
      <c r="A28" s="41" t="n">
        <v>262047</v>
      </c>
      <c r="B28" s="2" t="inlineStr">
        <is>
          <t>LUKOIL PJSC COMMON STOCK RUB</t>
        </is>
      </c>
      <c r="C28" s="18" t="n">
        <v>121825.29</v>
      </c>
      <c r="D28" s="19">
        <f>C28/$C$132</f>
        <v/>
      </c>
      <c r="E28" s="20" t="inlineStr">
        <is>
          <t>0H5797S</t>
        </is>
      </c>
    </row>
    <row r="29">
      <c r="A29" s="28" t="n"/>
      <c r="B29" s="27" t="inlineStr">
        <is>
          <t>Subtotal</t>
        </is>
      </c>
      <c r="C29" s="29">
        <f>+C28+C27</f>
        <v/>
      </c>
      <c r="D29" s="31">
        <f>C29/$C$135</f>
        <v/>
      </c>
      <c r="E29" s="20" t="n"/>
    </row>
    <row r="30">
      <c r="A30" s="28" t="n">
        <v>35367</v>
      </c>
      <c r="B30" s="2" t="inlineStr">
        <is>
          <t>ABSA GROUP LTD</t>
        </is>
      </c>
      <c r="C30" s="18" t="n">
        <v>268433.33</v>
      </c>
      <c r="D30" s="19">
        <f>C30/$C$132</f>
        <v/>
      </c>
      <c r="E30" s="20" t="inlineStr">
        <is>
          <t>BFX05H3</t>
        </is>
      </c>
    </row>
    <row r="31">
      <c r="A31" s="28" t="n">
        <v>9088</v>
      </c>
      <c r="B31" s="2" t="inlineStr">
        <is>
          <t>BANK POLSKA KASA OPIEKI SA COMMON STOCK PLN 1</t>
        </is>
      </c>
      <c r="C31" s="18" t="n">
        <v>259439.1</v>
      </c>
      <c r="D31" s="19">
        <f>C31/$C$132</f>
        <v/>
      </c>
      <c r="E31" s="20" t="inlineStr">
        <is>
          <t>5473113</t>
        </is>
      </c>
    </row>
    <row r="32">
      <c r="A32" s="28" t="n">
        <v>11178</v>
      </c>
      <c r="B32" s="2" t="inlineStr">
        <is>
          <t>RICHTER GEDEON NYRT COMMON STOCK HUF 100</t>
        </is>
      </c>
      <c r="C32" s="18" t="n">
        <v>257832.92</v>
      </c>
      <c r="D32" s="19">
        <f>C32/$C$132</f>
        <v/>
      </c>
      <c r="E32" s="20" t="inlineStr">
        <is>
          <t>BC9ZH86</t>
        </is>
      </c>
    </row>
    <row r="33">
      <c r="A33" s="28" t="n">
        <v>19991</v>
      </c>
      <c r="B33" s="2" t="inlineStr">
        <is>
          <t>SHOPRITE HOLDINGS LTD COMMON STOCK ZAR 113.4</t>
        </is>
      </c>
      <c r="C33" s="18" t="n">
        <v>255807.29</v>
      </c>
      <c r="D33" s="19">
        <f>C33/$C$132</f>
        <v/>
      </c>
      <c r="E33" s="20" t="inlineStr">
        <is>
          <t>6801575</t>
        </is>
      </c>
    </row>
    <row r="34">
      <c r="A34" s="28" t="n">
        <v>148768</v>
      </c>
      <c r="B34" s="2" t="inlineStr">
        <is>
          <t>ABU DHABI COMMERCIAL BANK PJSC COMMON STOCK AED 1</t>
        </is>
      </c>
      <c r="C34" s="18" t="n">
        <v>254248.6</v>
      </c>
      <c r="D34" s="19">
        <f>C34/$C$132</f>
        <v/>
      </c>
      <c r="E34" s="20" t="inlineStr">
        <is>
          <t>6545464</t>
        </is>
      </c>
    </row>
    <row r="35">
      <c r="A35" s="28" t="n">
        <v>12693</v>
      </c>
      <c r="B35" s="2" t="inlineStr">
        <is>
          <t>NOVA LJUBLJANSKA BANKA DD GDR EUR</t>
        </is>
      </c>
      <c r="C35" s="18" t="n">
        <v>251352.25</v>
      </c>
      <c r="D35" s="19">
        <f>C35/$C$132</f>
        <v/>
      </c>
      <c r="E35" s="20" t="inlineStr">
        <is>
          <t>BGRPD22</t>
        </is>
      </c>
    </row>
    <row r="36">
      <c r="A36" s="28" t="n">
        <v>3119</v>
      </c>
      <c r="B36" s="2" t="inlineStr">
        <is>
          <t>JSC KASPI.KZ GDR-REG S</t>
        </is>
      </c>
      <c r="C36" s="18" t="n">
        <v>246455.29</v>
      </c>
      <c r="D36" s="19">
        <f>C36/$C$132</f>
        <v/>
      </c>
      <c r="E36" s="20" t="inlineStr">
        <is>
          <t>BJY21K1</t>
        </is>
      </c>
    </row>
    <row r="37">
      <c r="A37" s="28" t="n">
        <v>31227</v>
      </c>
      <c r="B37" s="2" t="inlineStr">
        <is>
          <t>HARMONY GOLD MINING CO LTD COMMON STOCK ZAR 50</t>
        </is>
      </c>
      <c r="C37" s="18" t="n">
        <v>240658.56</v>
      </c>
      <c r="D37" s="19">
        <f>C37/$C$132</f>
        <v/>
      </c>
      <c r="E37" s="20" t="inlineStr">
        <is>
          <t>6410562</t>
        </is>
      </c>
    </row>
    <row r="38">
      <c r="A38" s="28" t="n">
        <v>1011</v>
      </c>
      <c r="B38" s="2" t="inlineStr">
        <is>
          <t>ELM CO COMMON STOCK SAR 10</t>
        </is>
      </c>
      <c r="C38" s="18" t="n">
        <v>233746.29</v>
      </c>
      <c r="D38" s="19">
        <f>C38/$C$132</f>
        <v/>
      </c>
      <c r="E38" s="20" t="inlineStr">
        <is>
          <t>BNYDSH8</t>
        </is>
      </c>
    </row>
    <row r="39">
      <c r="A39" s="28" t="n">
        <v>355644</v>
      </c>
      <c r="B39" s="2" t="inlineStr">
        <is>
          <t>ADNOC GAS PLC</t>
        </is>
      </c>
      <c r="C39" s="18" t="n">
        <v>228107.48</v>
      </c>
      <c r="D39" s="19">
        <f>C39/$C$132</f>
        <v/>
      </c>
      <c r="E39" s="20" t="inlineStr">
        <is>
          <t>BPJLW35</t>
        </is>
      </c>
    </row>
    <row r="40">
      <c r="A40" s="28" t="n">
        <v>88181</v>
      </c>
      <c r="B40" s="2" t="inlineStr">
        <is>
          <t>ABU DHABI ISLAMIC BANK PJSC COMMON STOCK AED 1</t>
        </is>
      </c>
      <c r="C40" s="18" t="n">
        <v>227666.48</v>
      </c>
      <c r="D40" s="19">
        <f>C40/$C$132</f>
        <v/>
      </c>
      <c r="E40" s="20" t="inlineStr">
        <is>
          <t>6001728</t>
        </is>
      </c>
    </row>
    <row r="41">
      <c r="A41" s="28" t="n">
        <v>8205</v>
      </c>
      <c r="B41" s="2" t="inlineStr">
        <is>
          <t>NAC KAZATOMPROM JSC GDR USD</t>
        </is>
      </c>
      <c r="C41" s="18" t="n">
        <v>223269.47</v>
      </c>
      <c r="D41" s="19">
        <f>C41/$C$132</f>
        <v/>
      </c>
      <c r="E41" s="20" t="inlineStr">
        <is>
          <t>BGXQL36</t>
        </is>
      </c>
    </row>
    <row r="42">
      <c r="A42" s="28" t="n">
        <v>10435</v>
      </c>
      <c r="B42" s="2" t="inlineStr">
        <is>
          <t>JUMBO SA COMMON STOCK EUR 0.88</t>
        </is>
      </c>
      <c r="C42" s="18" t="n">
        <v>223134.7</v>
      </c>
      <c r="D42" s="19">
        <f>C42/$C$132</f>
        <v/>
      </c>
      <c r="E42" s="20" t="inlineStr">
        <is>
          <t>7243530</t>
        </is>
      </c>
    </row>
    <row r="43">
      <c r="A43" s="28" t="n">
        <v>44928</v>
      </c>
      <c r="B43" s="2" t="inlineStr">
        <is>
          <t>RIYAD BANK COMMON STOCK SAR 10</t>
        </is>
      </c>
      <c r="C43" s="18" t="n">
        <v>222499.8</v>
      </c>
      <c r="D43" s="19">
        <f>C43/$C$132</f>
        <v/>
      </c>
      <c r="E43" s="20" t="inlineStr">
        <is>
          <t>B12LZW4</t>
        </is>
      </c>
    </row>
    <row r="44">
      <c r="A44" s="28" t="n">
        <v>71</v>
      </c>
      <c r="B44" s="2" t="inlineStr">
        <is>
          <t>LPP SA COMMON STOCK PLN 2</t>
        </is>
      </c>
      <c r="C44" s="18" t="n">
        <v>217864.16</v>
      </c>
      <c r="D44" s="19">
        <f>C44/$C$132</f>
        <v/>
      </c>
      <c r="E44" s="20" t="inlineStr">
        <is>
          <t>7127979</t>
        </is>
      </c>
    </row>
    <row r="45">
      <c r="A45" s="28" t="n">
        <v>127190</v>
      </c>
      <c r="B45" s="2" t="inlineStr">
        <is>
          <t>EUROBANK ERGASIAS SERVICES AND HOLDINGS SA COMMON STOCK EUR 0.22</t>
        </is>
      </c>
      <c r="C45" s="18" t="n">
        <v>217685.15</v>
      </c>
      <c r="D45" s="19">
        <f>C45/$C$132</f>
        <v/>
      </c>
      <c r="E45" s="20" t="inlineStr">
        <is>
          <t>BYZ43T4</t>
        </is>
      </c>
    </row>
    <row r="46">
      <c r="A46" s="28" t="n">
        <v>24635</v>
      </c>
      <c r="B46" s="2" t="inlineStr">
        <is>
          <t>SAUDI TELECOM CO COMMON STOCK</t>
        </is>
      </c>
      <c r="C46" s="18" t="n">
        <v>213943.21</v>
      </c>
      <c r="D46" s="19">
        <f>C46/$C$132</f>
        <v/>
      </c>
      <c r="E46" s="20" t="inlineStr">
        <is>
          <t>B12M7Q5</t>
        </is>
      </c>
    </row>
    <row r="47">
      <c r="A47" s="28" t="n">
        <v>8860909</v>
      </c>
      <c r="B47" s="2" t="inlineStr">
        <is>
          <t>GAZPROM PJSC COMMON STOCK RUB</t>
        </is>
      </c>
      <c r="C47" s="18" t="n">
        <v>190243.82</v>
      </c>
      <c r="D47" s="19">
        <f>C47/$C$132</f>
        <v/>
      </c>
      <c r="E47" s="20" t="inlineStr">
        <is>
          <t>0H5796S</t>
        </is>
      </c>
    </row>
    <row r="48">
      <c r="A48" s="28" t="n">
        <v>5365084</v>
      </c>
      <c r="B48" s="2" t="inlineStr">
        <is>
          <t>GAZPROM PJSC ADR</t>
        </is>
      </c>
      <c r="C48" s="18" t="n">
        <v>23254.63</v>
      </c>
      <c r="D48" s="19">
        <f>C48/$C$132</f>
        <v/>
      </c>
      <c r="E48" s="20" t="inlineStr">
        <is>
          <t>0H6364S</t>
        </is>
      </c>
    </row>
    <row r="49">
      <c r="A49" s="28" t="n"/>
      <c r="B49" s="27" t="inlineStr">
        <is>
          <t>Subtotal</t>
        </is>
      </c>
      <c r="C49" s="29">
        <f>+C48+C47</f>
        <v/>
      </c>
      <c r="D49" s="31">
        <f>C49/$C$135</f>
        <v/>
      </c>
      <c r="E49" s="38" t="n"/>
    </row>
    <row r="50">
      <c r="A50" s="41" t="n">
        <v>55547</v>
      </c>
      <c r="B50" s="2" t="inlineStr">
        <is>
          <t>SANLAM LTD COMMON STOCK ZAR 1</t>
        </is>
      </c>
      <c r="C50" s="18" t="n">
        <v>211472</v>
      </c>
      <c r="D50" s="19">
        <f>C50/$C$132</f>
        <v/>
      </c>
      <c r="E50" s="38" t="inlineStr">
        <is>
          <t>B0L6750</t>
        </is>
      </c>
    </row>
    <row r="51">
      <c r="A51" s="41" t="n">
        <v>222461</v>
      </c>
      <c r="B51" s="2" t="inlineStr">
        <is>
          <t>ADNOC DRILLING CO PJSC COMMON STOCK AED</t>
        </is>
      </c>
      <c r="C51" s="18" t="n">
        <v>210866.56</v>
      </c>
      <c r="D51" s="19">
        <f>C51/$C$132</f>
        <v/>
      </c>
      <c r="E51" s="38" t="inlineStr">
        <is>
          <t>BN12D39</t>
        </is>
      </c>
    </row>
    <row r="52">
      <c r="A52" s="41" t="n">
        <v>14455036</v>
      </c>
      <c r="B52" s="2" t="inlineStr">
        <is>
          <t>SBERBANK OF RUSSIA PJSC PREFERENCE RUB 3</t>
        </is>
      </c>
      <c r="C52" s="18" t="n">
        <v>171202.11</v>
      </c>
      <c r="D52" s="19">
        <f>C52/$C$132</f>
        <v/>
      </c>
      <c r="E52" s="38" t="inlineStr">
        <is>
          <t>0H5856S</t>
        </is>
      </c>
    </row>
    <row r="53">
      <c r="A53" s="41" t="n">
        <v>2355925</v>
      </c>
      <c r="B53" s="2" t="inlineStr">
        <is>
          <t>SBERBANK OF RUSSIA PJSC</t>
        </is>
      </c>
      <c r="C53" s="18" t="n">
        <v>27701.37</v>
      </c>
      <c r="D53" s="19">
        <f>C53/$C$132</f>
        <v/>
      </c>
      <c r="E53" s="38" t="inlineStr">
        <is>
          <t>0H5855S</t>
        </is>
      </c>
    </row>
    <row r="54">
      <c r="A54" s="41" t="n"/>
      <c r="B54" s="27" t="inlineStr">
        <is>
          <t>Subtotal</t>
        </is>
      </c>
      <c r="C54" s="29">
        <f>+C53+C52</f>
        <v/>
      </c>
      <c r="D54" s="31">
        <f>C54/$C$135</f>
        <v/>
      </c>
      <c r="E54" s="38" t="n"/>
    </row>
    <row r="55">
      <c r="A55" s="28" t="n">
        <v>11541</v>
      </c>
      <c r="B55" s="2" t="inlineStr">
        <is>
          <t>CLICKS GROUP LTD COMMON STOCK ZAR 1</t>
        </is>
      </c>
      <c r="C55" s="18" t="n">
        <v>198203.23</v>
      </c>
      <c r="D55" s="19">
        <f>C55/$C$132</f>
        <v/>
      </c>
      <c r="E55" s="38" t="inlineStr">
        <is>
          <t>6105578</t>
        </is>
      </c>
    </row>
    <row r="56">
      <c r="A56" s="28" t="n">
        <v>7421</v>
      </c>
      <c r="B56" s="2" t="inlineStr">
        <is>
          <t>TBC BANK GROUP PLC COMMON STOCK GBP 1</t>
        </is>
      </c>
      <c r="C56" s="18" t="n">
        <v>196285.45</v>
      </c>
      <c r="D56" s="19">
        <f>C56/$C$132</f>
        <v/>
      </c>
      <c r="E56" s="38" t="inlineStr">
        <is>
          <t>BYT1830</t>
        </is>
      </c>
    </row>
    <row r="57">
      <c r="A57" s="28" t="n">
        <v>4537</v>
      </c>
      <c r="B57" s="2" t="inlineStr">
        <is>
          <t>LEEJAM SPORTS CO JSC COMMON STOCK SAR 10</t>
        </is>
      </c>
      <c r="C57" s="18" t="n">
        <v>186459.2</v>
      </c>
      <c r="D57" s="19">
        <f>C57/$C$132</f>
        <v/>
      </c>
      <c r="E57" s="38" t="inlineStr">
        <is>
          <t>BF12ZV5</t>
        </is>
      </c>
    </row>
    <row r="58">
      <c r="A58" s="28" t="n">
        <v>361140</v>
      </c>
      <c r="B58" s="2" t="inlineStr">
        <is>
          <t>DUBAI ELECTRICITY &amp; WATER AU</t>
        </is>
      </c>
      <c r="C58" s="18" t="n">
        <v>186185.68</v>
      </c>
      <c r="D58" s="19">
        <f>C58/$C$132</f>
        <v/>
      </c>
      <c r="E58" s="38" t="inlineStr">
        <is>
          <t>BJLTVJ4</t>
        </is>
      </c>
    </row>
    <row r="59">
      <c r="A59" s="28" t="n">
        <v>7008</v>
      </c>
      <c r="B59" s="2" t="inlineStr">
        <is>
          <t>SAUDI ARAMCO BASE OIL CO COMMON STOCK SAR 10</t>
        </is>
      </c>
      <c r="C59" s="18" t="n">
        <v>184393.92</v>
      </c>
      <c r="D59" s="19">
        <f>C59/$C$132</f>
        <v/>
      </c>
      <c r="E59" s="38" t="inlineStr">
        <is>
          <t>BMDKMB5</t>
        </is>
      </c>
    </row>
    <row r="60">
      <c r="A60" s="28" t="n">
        <v>144384</v>
      </c>
      <c r="B60" s="2" t="inlineStr">
        <is>
          <t>DUBAI ISLAMIC BANK PJSC COMMON STOCK AED 1</t>
        </is>
      </c>
      <c r="C60" s="18" t="n">
        <v>184334.52</v>
      </c>
      <c r="D60" s="19">
        <f>C60/$C$132</f>
        <v/>
      </c>
      <c r="E60" s="38" t="inlineStr">
        <is>
          <t>6283452</t>
        </is>
      </c>
    </row>
    <row r="61">
      <c r="A61" s="28" t="n">
        <v>4992</v>
      </c>
      <c r="B61" s="2" t="inlineStr">
        <is>
          <t>BANK OF GEORGIA GROUP PLC COMMON STOCK GBP 1</t>
        </is>
      </c>
      <c r="C61" s="18" t="n">
        <v>183206.4</v>
      </c>
      <c r="D61" s="19">
        <f>C61/$C$132</f>
        <v/>
      </c>
      <c r="E61" s="38" t="inlineStr">
        <is>
          <t>BF4HYT8</t>
        </is>
      </c>
    </row>
    <row r="62">
      <c r="A62" s="28" t="n">
        <v>234924</v>
      </c>
      <c r="B62" s="2" t="inlineStr">
        <is>
          <t>PARKIN CO PJSC COMMON STOCK AED 0.02</t>
        </is>
      </c>
      <c r="C62" s="18" t="n">
        <v>181195.72</v>
      </c>
      <c r="D62" s="19">
        <f>C62/$C$132</f>
        <v/>
      </c>
      <c r="E62" s="38" t="inlineStr">
        <is>
          <t>BRRGQF6</t>
        </is>
      </c>
    </row>
    <row r="63">
      <c r="A63" s="41" t="n">
        <v>118206</v>
      </c>
      <c r="B63" s="2" t="inlineStr">
        <is>
          <t>ALDAR PROPERTIES PJSC COMMON STOCK AED 1</t>
        </is>
      </c>
      <c r="C63" s="33" t="n">
        <v>180424</v>
      </c>
      <c r="D63" s="19">
        <f>C63/$C$132</f>
        <v/>
      </c>
      <c r="E63" s="38" t="inlineStr">
        <is>
          <t>B0LX3Y2</t>
        </is>
      </c>
    </row>
    <row r="64">
      <c r="A64" s="28" t="n">
        <v>14151</v>
      </c>
      <c r="B64" s="2" t="inlineStr">
        <is>
          <t>BIDVEST GROUP LTD/THE COMMON STOCK ZAR 5</t>
        </is>
      </c>
      <c r="C64" s="18" t="n">
        <v>179192.34</v>
      </c>
      <c r="D64" s="19">
        <f>C64/$C$132</f>
        <v/>
      </c>
      <c r="E64" s="38" t="inlineStr">
        <is>
          <t>6100089</t>
        </is>
      </c>
    </row>
    <row r="65">
      <c r="A65" s="28" t="n">
        <v>28042</v>
      </c>
      <c r="B65" s="2" t="inlineStr">
        <is>
          <t>NATIONAL BANK OF GREECE SA COMMON STOCK EUR 1</t>
        </is>
      </c>
      <c r="C65" s="18" t="n">
        <v>179095.83</v>
      </c>
      <c r="D65" s="19">
        <f>C65/$C$132</f>
        <v/>
      </c>
      <c r="E65" s="38" t="inlineStr">
        <is>
          <t>BG087C6</t>
        </is>
      </c>
    </row>
    <row r="66">
      <c r="A66" s="28" t="n">
        <v>196322</v>
      </c>
      <c r="B66" s="2" t="inlineStr">
        <is>
          <t>QATAR GAS TRANSPORT CO LTD COMMON STOCK QAR 1</t>
        </is>
      </c>
      <c r="C66" s="18" t="n">
        <v>174862</v>
      </c>
      <c r="D66" s="19">
        <f>C66/$C$132</f>
        <v/>
      </c>
      <c r="E66" s="38" t="inlineStr">
        <is>
          <t>B0MLBC9</t>
        </is>
      </c>
    </row>
    <row r="67">
      <c r="A67" s="28" t="n">
        <v>27950</v>
      </c>
      <c r="B67" s="2" t="inlineStr">
        <is>
          <t>TURK HAVA YOLLARI AO COMMON STOCK TRY 1</t>
        </is>
      </c>
      <c r="C67" s="18" t="n">
        <v>173708.23</v>
      </c>
      <c r="D67" s="19">
        <f>C67/$C$132</f>
        <v/>
      </c>
      <c r="E67" s="38" t="inlineStr">
        <is>
          <t>B03MYK0</t>
        </is>
      </c>
    </row>
    <row r="68">
      <c r="A68" s="28" t="n">
        <v>50663</v>
      </c>
      <c r="B68" s="2" t="inlineStr">
        <is>
          <t>TUPRAS-TURKIYE PETROL RAFINE</t>
        </is>
      </c>
      <c r="C68" s="18" t="n">
        <v>171465.34</v>
      </c>
      <c r="D68" s="19">
        <f>C68/$C$132</f>
        <v/>
      </c>
      <c r="E68" s="38" t="inlineStr">
        <is>
          <t>B03MYT9</t>
        </is>
      </c>
    </row>
    <row r="69">
      <c r="A69" s="28" t="n">
        <v>9725</v>
      </c>
      <c r="B69" s="2" t="inlineStr">
        <is>
          <t>UNITED INTERNATIONAL TRANSPORTATION CO COMMON STOCK SAR 10</t>
        </is>
      </c>
      <c r="C69" s="18" t="n">
        <v>168334.17</v>
      </c>
      <c r="D69" s="19">
        <f>C69/$C$132</f>
        <v/>
      </c>
      <c r="E69" s="38" t="inlineStr">
        <is>
          <t>B2493D0</t>
        </is>
      </c>
    </row>
    <row r="70">
      <c r="A70" s="28" t="n">
        <v>5598</v>
      </c>
      <c r="B70" s="2" t="inlineStr">
        <is>
          <t>METLEN ENERGY &amp; METALS SA COMMON STOCK EUR 0.97</t>
        </is>
      </c>
      <c r="C70" s="18" t="n">
        <v>164790.53</v>
      </c>
      <c r="D70" s="19">
        <f>C70/$C$132</f>
        <v/>
      </c>
      <c r="E70" s="38" t="inlineStr">
        <is>
          <t>5898664</t>
        </is>
      </c>
    </row>
    <row r="71">
      <c r="A71" s="28" t="n">
        <v>15181</v>
      </c>
      <c r="B71" s="2" t="inlineStr">
        <is>
          <t>BIM BIRLESIK MAGAZALAR AS COMMON STOCK TRY 1</t>
        </is>
      </c>
      <c r="C71" s="18" t="n">
        <v>164283.75</v>
      </c>
      <c r="D71" s="19">
        <f>C71/$C$132</f>
        <v/>
      </c>
      <c r="E71" s="38" t="inlineStr">
        <is>
          <t>B0D0006</t>
        </is>
      </c>
    </row>
    <row r="72">
      <c r="A72" s="28" t="n">
        <v>74864</v>
      </c>
      <c r="B72" s="2" t="inlineStr">
        <is>
          <t>MAGYAR TELEKOM TELECOMMUNICATIONS PLC COMMON STOCK HUF 100</t>
        </is>
      </c>
      <c r="C72" s="18" t="n">
        <v>163428.46</v>
      </c>
      <c r="D72" s="19">
        <f>C72/$C$132</f>
        <v/>
      </c>
      <c r="E72" s="38" t="inlineStr">
        <is>
          <t>4577469</t>
        </is>
      </c>
    </row>
    <row r="73">
      <c r="A73" s="28" t="n">
        <v>1892</v>
      </c>
      <c r="B73" s="2" t="inlineStr">
        <is>
          <t>KRUK SA COMMON STOCK PLN 1</t>
        </is>
      </c>
      <c r="C73" s="18" t="n">
        <v>163101.51</v>
      </c>
      <c r="D73" s="19">
        <f>C73/$C$132</f>
        <v/>
      </c>
      <c r="E73" s="38" t="inlineStr">
        <is>
          <t>B4PTLY0</t>
        </is>
      </c>
    </row>
    <row r="74">
      <c r="A74" s="28" t="n">
        <v>9203</v>
      </c>
      <c r="B74" s="2" t="inlineStr">
        <is>
          <t>MOTOR OIL HELLAS CORINTH REFINERIES SA COMMON STOCK EUR 0.75</t>
        </is>
      </c>
      <c r="C74" s="18" t="n">
        <v>162792.43</v>
      </c>
      <c r="D74" s="19">
        <f>C74/$C$132</f>
        <v/>
      </c>
      <c r="E74" s="38" t="inlineStr">
        <is>
          <t>5996234</t>
        </is>
      </c>
    </row>
    <row r="75">
      <c r="A75" s="28" t="n">
        <v>12548</v>
      </c>
      <c r="B75" s="2" t="inlineStr">
        <is>
          <t>HELLENIC TELECOMMUNICATIONS ORGANIZATION SA COMMON STOCK EUR 2.83</t>
        </is>
      </c>
      <c r="C75" s="18" t="n">
        <v>161721.39</v>
      </c>
      <c r="D75" s="19">
        <f>C75/$C$132</f>
        <v/>
      </c>
      <c r="E75" s="38" t="inlineStr">
        <is>
          <t>5051605</t>
        </is>
      </c>
    </row>
    <row r="76">
      <c r="A76" s="28" t="n">
        <v>8057</v>
      </c>
      <c r="B76" s="2" t="inlineStr">
        <is>
          <t>RIYADH CABLES GROUP CO COMMON STOCK SAR 10</t>
        </is>
      </c>
      <c r="C76" s="18" t="n">
        <v>158515.99</v>
      </c>
      <c r="D76" s="19">
        <f>C76/$C$132</f>
        <v/>
      </c>
      <c r="E76" s="38" t="inlineStr">
        <is>
          <t>BNBPXW7</t>
        </is>
      </c>
    </row>
    <row r="77">
      <c r="A77" s="28" t="n">
        <v>19378</v>
      </c>
      <c r="B77" s="2" t="inlineStr">
        <is>
          <t>POWSZECHNY ZAKLAD UBEZPIECZEN SA COMMON STOCK PLN 0.1</t>
        </is>
      </c>
      <c r="C77" s="18" t="n">
        <v>158426.12</v>
      </c>
      <c r="D77" s="19">
        <f>C77/$C$132</f>
        <v/>
      </c>
      <c r="E77" s="38" t="inlineStr">
        <is>
          <t>B63DG21</t>
        </is>
      </c>
    </row>
    <row r="78">
      <c r="A78" s="28" t="n">
        <v>30065</v>
      </c>
      <c r="B78" s="2" t="inlineStr">
        <is>
          <t>MOTUS HOLDINGS LTD COMMON STOCK ZAR</t>
        </is>
      </c>
      <c r="C78" s="18" t="n">
        <v>158019.74</v>
      </c>
      <c r="D78" s="19">
        <f>C78/$C$132</f>
        <v/>
      </c>
      <c r="E78" s="38" t="inlineStr">
        <is>
          <t>BDRN3H0</t>
        </is>
      </c>
    </row>
    <row r="79">
      <c r="A79" s="28" t="n">
        <v>39150</v>
      </c>
      <c r="B79" s="2" t="inlineStr">
        <is>
          <t>ADES HOLDING CO COMMON STOCK SAR 1</t>
        </is>
      </c>
      <c r="C79" s="18" t="n">
        <v>156384.01</v>
      </c>
      <c r="D79" s="19">
        <f>C79/$C$132</f>
        <v/>
      </c>
      <c r="E79" s="38" t="inlineStr">
        <is>
          <t>BR56KM3</t>
        </is>
      </c>
    </row>
    <row r="80">
      <c r="A80" s="28" t="n">
        <v>187852</v>
      </c>
      <c r="B80" s="2" t="inlineStr">
        <is>
          <t>SALIK CO PJSC COMMON STOCK AED 0.01</t>
        </is>
      </c>
      <c r="C80" s="18" t="n">
        <v>155946.66</v>
      </c>
      <c r="D80" s="19">
        <f>C80/$C$132</f>
        <v/>
      </c>
      <c r="E80" s="38" t="inlineStr">
        <is>
          <t>BJN5952</t>
        </is>
      </c>
    </row>
    <row r="81">
      <c r="A81" s="28" t="n">
        <v>48227</v>
      </c>
      <c r="B81" s="2" t="inlineStr">
        <is>
          <t>PIRAEUS FINANCIAL HOLDINGS SA COMMON STOCK EUR 0.93</t>
        </is>
      </c>
      <c r="C81" s="18" t="n">
        <v>153524.17</v>
      </c>
      <c r="D81" s="19">
        <f>C81/$C$132</f>
        <v/>
      </c>
      <c r="E81" s="38" t="inlineStr">
        <is>
          <t>BNC0DB0</t>
        </is>
      </c>
    </row>
    <row r="82">
      <c r="A82" s="28" t="n">
        <v>234111</v>
      </c>
      <c r="B82" s="2" t="inlineStr">
        <is>
          <t>TECOM GROUP PJSC COMMON STOCK AED</t>
        </is>
      </c>
      <c r="C82" s="18" t="n">
        <v>151107.46</v>
      </c>
      <c r="D82" s="19">
        <f>C82/$C$132</f>
        <v/>
      </c>
      <c r="E82" s="38" t="inlineStr">
        <is>
          <t>BLDC8Q1</t>
        </is>
      </c>
    </row>
    <row r="83">
      <c r="A83" s="28" t="n">
        <v>11282</v>
      </c>
      <c r="B83" s="2" t="inlineStr">
        <is>
          <t>OPAP SA COMMON STOCK EUR 0.3</t>
        </is>
      </c>
      <c r="C83" s="18" t="n">
        <v>149816.8</v>
      </c>
      <c r="D83" s="19">
        <f>C83/$C$132</f>
        <v/>
      </c>
      <c r="E83" s="38" t="inlineStr">
        <is>
          <t>7107250</t>
        </is>
      </c>
    </row>
    <row r="84">
      <c r="A84" s="28" t="n">
        <v>111134</v>
      </c>
      <c r="B84" s="2" t="inlineStr">
        <is>
          <t>AKBANK TAS COMMON STOCK TRY 1</t>
        </is>
      </c>
      <c r="C84" s="18" t="n">
        <v>149286.79</v>
      </c>
      <c r="D84" s="19">
        <f>C84/$C$132</f>
        <v/>
      </c>
      <c r="E84" s="38" t="inlineStr">
        <is>
          <t>B03MN70</t>
        </is>
      </c>
    </row>
    <row r="85">
      <c r="A85" s="28" t="n">
        <v>5652</v>
      </c>
      <c r="B85" s="2" t="inlineStr">
        <is>
          <t>KOMERCNI BANKA AS COMMON STOCK CZK 100</t>
        </is>
      </c>
      <c r="C85" s="18" t="n">
        <v>149195.9</v>
      </c>
      <c r="D85" s="19">
        <f>C85/$C$132</f>
        <v/>
      </c>
      <c r="E85" s="38" t="inlineStr">
        <is>
          <t>4519449</t>
        </is>
      </c>
    </row>
    <row r="86">
      <c r="A86" s="28" t="n">
        <v>22044</v>
      </c>
      <c r="B86" s="2" t="inlineStr">
        <is>
          <t>FOSCHINI GROUP LTD/THE COMMON STOCK ZAR 1.25</t>
        </is>
      </c>
      <c r="C86" s="18" t="n">
        <v>148973.43</v>
      </c>
      <c r="D86" s="19">
        <f>C86/$C$132</f>
        <v/>
      </c>
      <c r="E86" s="38" t="inlineStr">
        <is>
          <t>6349688</t>
        </is>
      </c>
    </row>
    <row r="87">
      <c r="A87" s="28" t="n">
        <v>4593</v>
      </c>
      <c r="B87" s="2" t="inlineStr">
        <is>
          <t>ALKHORAYEF WATER &amp; POWER TECHNOLOGIES CO COMMON STOCK SAR 10</t>
        </is>
      </c>
      <c r="C87" s="18" t="n">
        <v>147868.6</v>
      </c>
      <c r="D87" s="19">
        <f>C87/$C$132</f>
        <v/>
      </c>
      <c r="E87" s="38" t="inlineStr">
        <is>
          <t>BN33QN1</t>
        </is>
      </c>
    </row>
    <row r="88">
      <c r="A88" s="28" t="n">
        <v>60427</v>
      </c>
      <c r="B88" s="2" t="inlineStr">
        <is>
          <t>OOREDOO QPSC COMMON STOCK QAR 1</t>
        </is>
      </c>
      <c r="C88" s="18" t="n">
        <v>145504.21</v>
      </c>
      <c r="D88" s="19">
        <f>C88/$C$132</f>
        <v/>
      </c>
      <c r="E88" s="38" t="inlineStr">
        <is>
          <t>6158174</t>
        </is>
      </c>
    </row>
    <row r="89">
      <c r="A89" s="28" t="n">
        <v>133931</v>
      </c>
      <c r="B89" s="2" t="inlineStr">
        <is>
          <t>ADNOC LOGISTICS &amp; SERVICES COMMON STOCK AED</t>
        </is>
      </c>
      <c r="C89" s="18" t="n">
        <v>145435.98</v>
      </c>
      <c r="D89" s="19">
        <f>C89/$C$132</f>
        <v/>
      </c>
      <c r="E89" s="38" t="inlineStr">
        <is>
          <t>BRBN103</t>
        </is>
      </c>
    </row>
    <row r="90">
      <c r="A90" s="28" t="n">
        <v>1924</v>
      </c>
      <c r="B90" s="2" t="inlineStr">
        <is>
          <t>SAUDIA DAIRY &amp; FOODSTUFF CO COMMON STOCK SAR 10</t>
        </is>
      </c>
      <c r="C90" s="18" t="n">
        <v>144225.24</v>
      </c>
      <c r="D90" s="19">
        <f>C90/$C$132</f>
        <v/>
      </c>
      <c r="E90" s="38" t="inlineStr">
        <is>
          <t>B133P41</t>
        </is>
      </c>
    </row>
    <row r="91">
      <c r="A91" s="28" t="n">
        <v>30154</v>
      </c>
      <c r="B91" s="2" t="inlineStr">
        <is>
          <t>AVI LTD COMMON STOCK ZAR 5</t>
        </is>
      </c>
      <c r="C91" s="18" t="n">
        <v>143459.31</v>
      </c>
      <c r="D91" s="19">
        <f>C91/$C$132</f>
        <v/>
      </c>
      <c r="E91" s="38" t="inlineStr">
        <is>
          <t>6040958</t>
        </is>
      </c>
    </row>
    <row r="92">
      <c r="A92" s="28" t="n">
        <v>53407</v>
      </c>
      <c r="B92" s="2" t="inlineStr">
        <is>
          <t>TURKIYE GARANTI BANKASI AS COMMON STOCK TRY 1</t>
        </is>
      </c>
      <c r="C92" s="18" t="n">
        <v>142552</v>
      </c>
      <c r="D92" s="19">
        <f>C92/$C$132</f>
        <v/>
      </c>
      <c r="E92" s="38" t="inlineStr">
        <is>
          <t>B03MYP5</t>
        </is>
      </c>
    </row>
    <row r="93">
      <c r="A93" s="28" t="n">
        <v>1268490</v>
      </c>
      <c r="B93" s="2" t="inlineStr">
        <is>
          <t>NOVATEK PJSC COMMON STOCK RUB 0.1</t>
        </is>
      </c>
      <c r="C93" s="18" t="n">
        <v>128866.57</v>
      </c>
      <c r="D93" s="19">
        <f>C93/$C$132</f>
        <v/>
      </c>
      <c r="E93" s="38" t="inlineStr">
        <is>
          <t>2H6464S</t>
        </is>
      </c>
    </row>
    <row r="94">
      <c r="A94" s="28" t="n">
        <v>103572</v>
      </c>
      <c r="B94" s="2" t="inlineStr">
        <is>
          <t>NOVATEK PJSC COMMON STOCK RUB 0.1</t>
        </is>
      </c>
      <c r="C94" s="18" t="n">
        <v>11856.59</v>
      </c>
      <c r="D94" s="19">
        <f>C94/$C$132</f>
        <v/>
      </c>
      <c r="E94" s="38" t="inlineStr">
        <is>
          <t>0H5828S</t>
        </is>
      </c>
    </row>
    <row r="95">
      <c r="A95" s="28" t="n"/>
      <c r="B95" s="27" t="inlineStr">
        <is>
          <t>Subtotal</t>
        </is>
      </c>
      <c r="C95" s="29">
        <f>+C94+C93</f>
        <v/>
      </c>
      <c r="D95" s="31">
        <f>C95/$C$135</f>
        <v/>
      </c>
      <c r="E95" s="38" t="n"/>
    </row>
    <row r="96">
      <c r="A96" s="28" t="n">
        <v>20423</v>
      </c>
      <c r="B96" s="2" t="inlineStr">
        <is>
          <t>SAUDI AWWAL BANK COMMON STOCK SAR 10</t>
        </is>
      </c>
      <c r="C96" s="18" t="n">
        <v>140633.01</v>
      </c>
      <c r="D96" s="19">
        <f>C96/$C$132</f>
        <v/>
      </c>
      <c r="E96" s="38" t="inlineStr">
        <is>
          <t>B12LSY7</t>
        </is>
      </c>
    </row>
    <row r="97">
      <c r="A97" s="28" t="n">
        <v>31957</v>
      </c>
      <c r="B97" s="2" t="inlineStr">
        <is>
          <t>ARABIAN CENTRES CO COMMON STOCK SAR 10</t>
        </is>
      </c>
      <c r="C97" s="18" t="n">
        <v>138194.07</v>
      </c>
      <c r="D97" s="19">
        <f>C97/$C$132</f>
        <v/>
      </c>
      <c r="E97" s="38" t="inlineStr">
        <is>
          <t>BKBF694</t>
        </is>
      </c>
    </row>
    <row r="98">
      <c r="A98" s="28" t="n">
        <v>105464</v>
      </c>
      <c r="B98" s="2" t="inlineStr">
        <is>
          <t>ALPHA SERVICES AND HOLDINGS SA COMMON STOCK EUR 0.29</t>
        </is>
      </c>
      <c r="C98" s="18" t="n">
        <v>136714.07</v>
      </c>
      <c r="D98" s="19">
        <f>C98/$C$132</f>
        <v/>
      </c>
      <c r="E98" s="38" t="inlineStr">
        <is>
          <t>BZ1MXR7</t>
        </is>
      </c>
    </row>
    <row r="99">
      <c r="A99" s="28" t="n">
        <v>23384</v>
      </c>
      <c r="B99" s="2" t="inlineStr">
        <is>
          <t>MOL HUNGARIAN OIL &amp; GAS PLC COMMON STOCK HUF 125</t>
        </is>
      </c>
      <c r="C99" s="18" t="n">
        <v>130998.75</v>
      </c>
      <c r="D99" s="19">
        <f>C99/$C$132</f>
        <v/>
      </c>
      <c r="E99" s="38" t="inlineStr">
        <is>
          <t>BD5ZXH8</t>
        </is>
      </c>
    </row>
    <row r="100">
      <c r="A100" s="41" t="n">
        <v>4403</v>
      </c>
      <c r="B100" s="2" t="inlineStr">
        <is>
          <t>CO FOR COOPERATIVE INSURANCE/THE COMMON STOCK SAR 10</t>
        </is>
      </c>
      <c r="C100" s="33" t="n">
        <v>129151.53</v>
      </c>
      <c r="D100" s="19">
        <f>C100/$C$132</f>
        <v/>
      </c>
      <c r="E100" s="38" t="inlineStr">
        <is>
          <t>B128FN6</t>
        </is>
      </c>
    </row>
    <row r="101">
      <c r="A101" s="28" t="n">
        <v>7119200</v>
      </c>
      <c r="B101" s="2" t="inlineStr">
        <is>
          <t>MMC NORILSK NICKEL PJSC COMMON STOCK RUB 1</t>
        </is>
      </c>
      <c r="C101" s="18" t="n">
        <v>128108.13</v>
      </c>
      <c r="D101" s="19">
        <f>C101/$C$132</f>
        <v/>
      </c>
      <c r="E101" s="38" t="inlineStr">
        <is>
          <t>0H5804S</t>
        </is>
      </c>
    </row>
    <row r="102">
      <c r="A102" s="28" t="n">
        <v>27608</v>
      </c>
      <c r="B102" s="2" t="inlineStr">
        <is>
          <t>BANCA TRANSILVANIA SA COMMON STOCK RON 1</t>
        </is>
      </c>
      <c r="C102" s="18" t="n">
        <v>127415.68</v>
      </c>
      <c r="D102" s="19">
        <f>C102/$C$132</f>
        <v/>
      </c>
      <c r="E102" s="38" t="inlineStr">
        <is>
          <t>5393307</t>
        </is>
      </c>
    </row>
    <row r="103">
      <c r="A103" s="28" t="n">
        <v>61090</v>
      </c>
      <c r="B103" s="2" t="inlineStr">
        <is>
          <t>TURKCELL ILETISIM HIZMET AS</t>
        </is>
      </c>
      <c r="C103" s="18" t="n">
        <v>126757.2</v>
      </c>
      <c r="D103" s="19">
        <f>C103/$C$132</f>
        <v/>
      </c>
      <c r="E103" s="38" t="inlineStr">
        <is>
          <t>B03MYN3</t>
        </is>
      </c>
    </row>
    <row r="104">
      <c r="A104" s="28" t="n">
        <v>453680</v>
      </c>
      <c r="B104" s="2" t="inlineStr">
        <is>
          <t>TURKIYE SIGORTA AS COMMON STOCK TRY 1</t>
        </is>
      </c>
      <c r="C104" s="18" t="n">
        <v>122281.8</v>
      </c>
      <c r="D104" s="19">
        <f>C104/$C$132</f>
        <v/>
      </c>
      <c r="E104" s="38" t="inlineStr">
        <is>
          <t>B03MTD8</t>
        </is>
      </c>
    </row>
    <row r="105">
      <c r="A105" s="28" t="n">
        <v>4570</v>
      </c>
      <c r="B105" s="2" t="inlineStr">
        <is>
          <t>ALDREES PETROLEUM AND TRANSPORT SERVICES CO COMMON STOCK SAR 10</t>
        </is>
      </c>
      <c r="C105" s="18" t="n">
        <v>120790.38</v>
      </c>
      <c r="D105" s="19">
        <f>C105/$C$132</f>
        <v/>
      </c>
      <c r="E105" s="38" t="inlineStr">
        <is>
          <t>B128FF8</t>
        </is>
      </c>
    </row>
    <row r="106">
      <c r="A106" s="28" t="n">
        <v>165133</v>
      </c>
      <c r="B106" s="2" t="inlineStr">
        <is>
          <t>YAPI VE KREDI BANKASI AS COMMON STOCK TRY 1</t>
        </is>
      </c>
      <c r="C106" s="18" t="n">
        <v>111344.06</v>
      </c>
      <c r="D106" s="19">
        <f>C106/$C$132</f>
        <v/>
      </c>
      <c r="E106" s="38" t="inlineStr">
        <is>
          <t>B03MZJ6</t>
        </is>
      </c>
    </row>
    <row r="107">
      <c r="A107" s="28" t="n">
        <v>2657</v>
      </c>
      <c r="B107" s="2" t="inlineStr">
        <is>
          <t>ERSTE GROUP BANK AG COMMON STOCK EUR 0</t>
        </is>
      </c>
      <c r="C107" s="18" t="n">
        <v>108855.69</v>
      </c>
      <c r="D107" s="19">
        <f>C107/$C$132</f>
        <v/>
      </c>
      <c r="E107" s="38" t="inlineStr">
        <is>
          <t>5289837</t>
        </is>
      </c>
    </row>
    <row r="108">
      <c r="A108" s="28" t="n">
        <v>2526</v>
      </c>
      <c r="B108" s="2" t="inlineStr">
        <is>
          <t>BUPA ARABIA FOR COOPERATIVE INSURANCE CO COMMON STOCK SAR 10</t>
        </is>
      </c>
      <c r="C108" s="18" t="n">
        <v>104013</v>
      </c>
      <c r="D108" s="19">
        <f>C108/$C$132</f>
        <v/>
      </c>
      <c r="E108" s="38" t="inlineStr">
        <is>
          <t>B2RLCR0</t>
        </is>
      </c>
    </row>
    <row r="109">
      <c r="A109" s="28" t="n">
        <v>2041744</v>
      </c>
      <c r="B109" s="2" t="inlineStr">
        <is>
          <t>ROSNEFT OIL CO PJSC COMMON STOCK RUB 0.01</t>
        </is>
      </c>
      <c r="C109" s="18" t="n">
        <v>56660.62</v>
      </c>
      <c r="D109" s="19">
        <f>C109/$C$132</f>
        <v/>
      </c>
      <c r="E109" s="38" t="inlineStr">
        <is>
          <t>0H5827S</t>
        </is>
      </c>
    </row>
    <row r="110">
      <c r="A110" s="28" t="n">
        <v>1677948</v>
      </c>
      <c r="B110" s="2" t="inlineStr">
        <is>
          <t>ROSNEFT OIL CO PJSC COMMON STOCK RUB</t>
        </is>
      </c>
      <c r="C110" s="18" t="n">
        <v>41373.36</v>
      </c>
      <c r="D110" s="19">
        <f>C110/$C$132</f>
        <v/>
      </c>
      <c r="E110" s="38" t="inlineStr">
        <is>
          <t>2H7674S</t>
        </is>
      </c>
    </row>
    <row r="111">
      <c r="A111" s="28" t="n"/>
      <c r="B111" s="27" t="inlineStr">
        <is>
          <t>Subtotal</t>
        </is>
      </c>
      <c r="C111" s="29">
        <f>+C110+C109</f>
        <v/>
      </c>
      <c r="D111" s="31">
        <f>C111/$C$135</f>
        <v/>
      </c>
      <c r="E111" s="38" t="n"/>
    </row>
    <row r="112">
      <c r="A112" s="28" t="n">
        <v>10086</v>
      </c>
      <c r="B112" s="2" t="inlineStr">
        <is>
          <t>SARANTIS SA EUR1.53</t>
        </is>
      </c>
      <c r="C112" s="18" t="n">
        <v>91303.91</v>
      </c>
      <c r="D112" s="19">
        <f>C112/$C$132</f>
        <v/>
      </c>
      <c r="E112" s="38" t="inlineStr">
        <is>
          <t>7124958</t>
        </is>
      </c>
    </row>
    <row r="113">
      <c r="A113" s="28" t="n">
        <v>5361</v>
      </c>
      <c r="B113" s="2" t="inlineStr">
        <is>
          <t>RAIFFEISEN BANK INTERNATIONAL AG COMMON STOCK EUR 0</t>
        </is>
      </c>
      <c r="C113" s="18" t="n">
        <v>79576.02</v>
      </c>
      <c r="D113" s="19">
        <f>C113/$C$132</f>
        <v/>
      </c>
      <c r="E113" s="38" t="inlineStr">
        <is>
          <t>B0704T9</t>
        </is>
      </c>
    </row>
    <row r="114">
      <c r="A114" s="28" t="n">
        <v>3385</v>
      </c>
      <c r="B114" s="2" t="inlineStr">
        <is>
          <t>ARABIAN DRILLING CO COMMON STOCK SAR 10</t>
        </is>
      </c>
      <c r="C114" s="18" t="n">
        <v>77226.27</v>
      </c>
      <c r="D114" s="19">
        <f>C114/$C$132</f>
        <v/>
      </c>
      <c r="E114" s="38" t="inlineStr">
        <is>
          <t>BPNZYP9</t>
        </is>
      </c>
    </row>
    <row r="115">
      <c r="A115" s="28" t="n">
        <v>3657350</v>
      </c>
      <c r="B115" s="2" t="inlineStr">
        <is>
          <t>NOVOLIPETSK STEEL PJSC COMMON STOCK RUB</t>
        </is>
      </c>
      <c r="C115" s="18" t="n">
        <v>54898.36</v>
      </c>
      <c r="D115" s="19">
        <f>C115/$C$132</f>
        <v/>
      </c>
      <c r="E115" s="38" t="inlineStr">
        <is>
          <t>2H7675S</t>
        </is>
      </c>
    </row>
    <row r="116">
      <c r="A116" s="28" t="n">
        <v>180877</v>
      </c>
      <c r="B116" s="2" t="inlineStr">
        <is>
          <t>MAGNIT PJSC COMMON STOCK RUB 0.01</t>
        </is>
      </c>
      <c r="C116" s="18" t="n">
        <v>50521.27</v>
      </c>
      <c r="D116" s="19">
        <f>C116/$C$132</f>
        <v/>
      </c>
      <c r="E116" s="38" t="inlineStr">
        <is>
          <t>0H5813S</t>
        </is>
      </c>
    </row>
    <row r="117">
      <c r="A117" s="28" t="n">
        <v>1265335</v>
      </c>
      <c r="B117" s="2" t="inlineStr">
        <is>
          <t>GAZPROM NEFT PJSC COMMON STOCK RUB</t>
        </is>
      </c>
      <c r="C117" s="18" t="n">
        <v>45654.45</v>
      </c>
      <c r="D117" s="19">
        <f>C117/$C$132</f>
        <v/>
      </c>
      <c r="E117" s="38" t="inlineStr">
        <is>
          <t>0H5803S</t>
        </is>
      </c>
    </row>
    <row r="118">
      <c r="A118" s="28" t="n">
        <v>730066</v>
      </c>
      <c r="B118" s="2" t="inlineStr">
        <is>
          <t>TATNEFT PJSC COMMON STOCK RUB</t>
        </is>
      </c>
      <c r="C118" s="18" t="n">
        <v>24690.69</v>
      </c>
      <c r="D118" s="19">
        <f>C118/$C$132</f>
        <v/>
      </c>
      <c r="E118" s="38" t="inlineStr">
        <is>
          <t>0H5822S</t>
        </is>
      </c>
    </row>
    <row r="119">
      <c r="A119" s="28" t="n">
        <v>571359</v>
      </c>
      <c r="B119" s="2" t="inlineStr">
        <is>
          <t>TATNEFT PJSC PREFERENCE RUB 1</t>
        </is>
      </c>
      <c r="C119" s="18" t="n">
        <v>17112.1</v>
      </c>
      <c r="D119" s="19">
        <f>C119/$C$132</f>
        <v/>
      </c>
      <c r="E119" s="38" t="inlineStr">
        <is>
          <t>0H5816S</t>
        </is>
      </c>
    </row>
    <row r="120">
      <c r="A120" s="28" t="n"/>
      <c r="B120" s="27" t="inlineStr">
        <is>
          <t>Subtotal</t>
        </is>
      </c>
      <c r="C120" s="29">
        <f>+C119+C118</f>
        <v/>
      </c>
      <c r="D120" s="31">
        <f>C120/$C$135</f>
        <v/>
      </c>
      <c r="E120" s="38" t="n"/>
    </row>
    <row r="121">
      <c r="A121" s="28" t="n">
        <v>6156103</v>
      </c>
      <c r="B121" s="2" t="inlineStr">
        <is>
          <t>ROSTELECOM PJSC COMMON STOCK RUB</t>
        </is>
      </c>
      <c r="C121" s="18" t="n">
        <v>39381.62</v>
      </c>
      <c r="D121" s="19">
        <f>C121/$C$132</f>
        <v/>
      </c>
      <c r="E121" s="38" t="inlineStr">
        <is>
          <t>0H5802S</t>
        </is>
      </c>
    </row>
    <row r="122">
      <c r="A122" s="28" t="n">
        <v>4246654</v>
      </c>
      <c r="B122" s="2" t="inlineStr">
        <is>
          <t>VTB BANK PJSC COMMON STOCK RUB 0.01</t>
        </is>
      </c>
      <c r="C122" s="18" t="n">
        <v>38308.06</v>
      </c>
      <c r="D122" s="19">
        <f>C122/$C$132</f>
        <v/>
      </c>
      <c r="E122" s="38" t="inlineStr">
        <is>
          <t>0H5837S</t>
        </is>
      </c>
    </row>
    <row r="123">
      <c r="A123" s="28" t="n">
        <v>29773</v>
      </c>
      <c r="B123" s="2" t="inlineStr">
        <is>
          <t>POLYUS PJSC COMMON STOCK RUB</t>
        </is>
      </c>
      <c r="C123" s="18" t="n">
        <v>26514</v>
      </c>
      <c r="D123" s="19">
        <f>C123/$C$132</f>
        <v/>
      </c>
      <c r="E123" s="38" t="inlineStr">
        <is>
          <t>2H7182S</t>
        </is>
      </c>
    </row>
    <row r="124">
      <c r="A124" s="28" t="n">
        <v>169819</v>
      </c>
      <c r="B124" s="2" t="inlineStr">
        <is>
          <t>YANDEX NV COMMON STOCK USD 0.01</t>
        </is>
      </c>
      <c r="C124" s="18" t="n">
        <v>23978.62</v>
      </c>
      <c r="D124" s="19">
        <f>C124/$C$132</f>
        <v/>
      </c>
      <c r="E124" s="38" t="inlineStr">
        <is>
          <t>0H6379S</t>
        </is>
      </c>
    </row>
    <row r="125">
      <c r="A125" s="28" t="n">
        <v>432517</v>
      </c>
      <c r="B125" s="2" t="inlineStr">
        <is>
          <t>MD MEDICAL GROUP INVESTMENTS PLC GDR USD</t>
        </is>
      </c>
      <c r="C125" s="18" t="n">
        <v>18379.6</v>
      </c>
      <c r="D125" s="19">
        <f>C125/$C$132</f>
        <v/>
      </c>
      <c r="E125" s="38" t="inlineStr">
        <is>
          <t>0H6371S</t>
        </is>
      </c>
    </row>
    <row r="126">
      <c r="A126" s="28" t="n">
        <v>12313057</v>
      </c>
      <c r="B126" s="2" t="inlineStr">
        <is>
          <t>SISTEMA PJSFC COMMON STOCK RUB 0.09</t>
        </is>
      </c>
      <c r="C126" s="18" t="n">
        <v>13814.47</v>
      </c>
      <c r="D126" s="19">
        <f>C126/$C$132</f>
        <v/>
      </c>
      <c r="E126" s="38" t="inlineStr">
        <is>
          <t>0H5808S</t>
        </is>
      </c>
    </row>
    <row r="127">
      <c r="A127" s="28" t="n">
        <v>577525</v>
      </c>
      <c r="B127" s="2" t="inlineStr">
        <is>
          <t>FIX PRICE GROUP LTD GDR</t>
        </is>
      </c>
      <c r="C127" s="18" t="n">
        <v>4047.22</v>
      </c>
      <c r="D127" s="19">
        <f>C127/$C$132</f>
        <v/>
      </c>
      <c r="E127" s="38" t="inlineStr">
        <is>
          <t>0H6372S</t>
        </is>
      </c>
    </row>
    <row r="128">
      <c r="A128" s="28" t="n">
        <v>75226</v>
      </c>
      <c r="B128" s="2" t="inlineStr">
        <is>
          <t>TCS GROUP HOLDING PLC GDR</t>
        </is>
      </c>
      <c r="C128" s="18" t="n">
        <v>1790.71</v>
      </c>
      <c r="D128" s="19">
        <f>C128/$C$132</f>
        <v/>
      </c>
      <c r="E128" s="38" t="inlineStr">
        <is>
          <t>0H6380S</t>
        </is>
      </c>
    </row>
    <row r="129">
      <c r="A129" s="28" t="n">
        <v>275182</v>
      </c>
      <c r="B129" s="2" t="inlineStr">
        <is>
          <t>X 5 RETAIL GROUP NV-REGS GDR</t>
        </is>
      </c>
      <c r="C129" s="18" t="n">
        <v>1090.19</v>
      </c>
      <c r="D129" s="19">
        <f>C129/$C$132</f>
        <v/>
      </c>
      <c r="E129" s="38" t="inlineStr">
        <is>
          <t>0H6365S</t>
        </is>
      </c>
    </row>
    <row r="130">
      <c r="A130" s="28" t="n">
        <v>552780</v>
      </c>
      <c r="B130" s="2" t="inlineStr">
        <is>
          <t>SEVERSTAL PAO GDR USD</t>
        </is>
      </c>
      <c r="C130" s="18" t="n">
        <v>247.68</v>
      </c>
      <c r="D130" s="19">
        <f>C130/$C$132</f>
        <v/>
      </c>
      <c r="E130" s="38" t="inlineStr">
        <is>
          <t>0H6368S</t>
        </is>
      </c>
    </row>
    <row r="131">
      <c r="A131" s="28" t="n"/>
      <c r="B131" s="2" t="n"/>
      <c r="C131" s="18" t="n"/>
      <c r="D131" s="19" t="n"/>
      <c r="E131" s="38" t="n"/>
    </row>
    <row r="132">
      <c r="A132" s="28" t="n"/>
      <c r="B132" s="21" t="inlineStr">
        <is>
          <t>Total portfolio</t>
        </is>
      </c>
      <c r="C132" s="39">
        <f>SUM(C12:C28)+SUM(C30:C48)+SUM(C50:C53)+SUM(C55:C94)+SUM(C96:C110)+SUM(C112:C119)+SUM(C121:C130)</f>
        <v/>
      </c>
      <c r="D132" s="19">
        <f>C132/$C$135</f>
        <v/>
      </c>
      <c r="E132" s="20" t="n"/>
    </row>
    <row r="133">
      <c r="A133" s="28" t="n"/>
      <c r="B133" s="21" t="inlineStr">
        <is>
          <t>Net Current Assets</t>
        </is>
      </c>
      <c r="C133" s="39" t="n">
        <v>136650.21</v>
      </c>
      <c r="D133" s="19">
        <f>C133/$C$135</f>
        <v/>
      </c>
      <c r="E133" s="20" t="n"/>
    </row>
    <row r="134">
      <c r="A134" s="28" t="n"/>
      <c r="B134" s="21" t="n"/>
      <c r="C134" s="39" t="n"/>
      <c r="D134" s="32" t="n"/>
      <c r="E134" s="20" t="n"/>
    </row>
    <row r="135">
      <c r="A135" s="17" t="n"/>
      <c r="B135" s="21" t="inlineStr">
        <is>
          <t>Total Assets</t>
        </is>
      </c>
      <c r="C135" s="22">
        <f>C132+C133</f>
        <v/>
      </c>
      <c r="D135" s="19">
        <f>C135/$C$135</f>
        <v/>
      </c>
      <c r="E135" s="3" t="n"/>
    </row>
    <row r="136" ht="12.75" customHeight="1" s="42">
      <c r="A13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7"/>
    <row r="138"/>
    <row r="139"/>
  </sheetData>
  <mergeCells count="2">
    <mergeCell ref="A136:E139"/>
    <mergeCell ref="A3:E6"/>
  </mergeCells>
  <conditionalFormatting sqref="B12:B14">
    <cfRule type="containsText" priority="2" operator="containsText" dxfId="0" text="LIQUIDITY">
      <formula>NOT(ISERROR(SEARCH("LIQUIDITY",B12)))</formula>
    </cfRule>
  </conditionalFormatting>
  <conditionalFormatting sqref="B16:B131">
    <cfRule type="containsText" priority="1" operator="containsText" dxfId="0" text="LIQUIDITY">
      <formula>NOT(ISERROR(SEARCH("LIQUIDITY",B16)))</formula>
    </cfRule>
  </conditionalFormatting>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136"/>
  <sheetViews>
    <sheetView topLeftCell="A110" workbookViewId="0">
      <selection activeCell="B130" sqref="B130"/>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August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164763</v>
      </c>
      <c r="B12" s="2" t="inlineStr">
        <is>
          <t>FIRSTRAND LTD COMMON STOCK ZAR 1</t>
        </is>
      </c>
      <c r="C12" s="18" t="n">
        <v>607097.53</v>
      </c>
      <c r="D12" s="19">
        <f>C12/$C$129</f>
        <v/>
      </c>
      <c r="E12" s="20" t="inlineStr">
        <is>
          <t>6606996</t>
        </is>
      </c>
    </row>
    <row r="13">
      <c r="A13" s="41" t="n">
        <v>32585</v>
      </c>
      <c r="B13" s="2" t="inlineStr">
        <is>
          <t>AL RAJHI BANK COMMON STOCK SAR 10</t>
        </is>
      </c>
      <c r="C13" s="18" t="n">
        <v>582080.9300000001</v>
      </c>
      <c r="D13" s="19">
        <f>C13/$C$129</f>
        <v/>
      </c>
      <c r="E13" s="20" t="inlineStr">
        <is>
          <t>B12LZH9</t>
        </is>
      </c>
    </row>
    <row r="14">
      <c r="A14" s="41" t="n">
        <v>514330.73</v>
      </c>
      <c r="B14" s="2" t="inlineStr">
        <is>
          <t>JPM GBP LIQUIDITY LVNAV X (DIST.)</t>
        </is>
      </c>
      <c r="C14" s="18" t="n">
        <v>514330.73</v>
      </c>
      <c r="D14" s="19">
        <f>C14/$C$129</f>
        <v/>
      </c>
      <c r="E14" s="20" t="inlineStr">
        <is>
          <t>5819115</t>
        </is>
      </c>
    </row>
    <row r="15">
      <c r="A15" s="41" t="n">
        <v>47354</v>
      </c>
      <c r="B15" s="45" t="inlineStr">
        <is>
          <t>STANDARD BANK GROUP LTD COMMON STOCK ZAR 10</t>
        </is>
      </c>
      <c r="C15" s="33" t="n">
        <v>487024.88</v>
      </c>
      <c r="D15" s="19">
        <f>C15/$C$129</f>
        <v/>
      </c>
      <c r="E15" s="20" t="inlineStr">
        <is>
          <t>B030GJ7</t>
        </is>
      </c>
    </row>
    <row r="16">
      <c r="A16" s="41" t="n">
        <v>142756</v>
      </c>
      <c r="B16" s="2" t="inlineStr">
        <is>
          <t>QATAR NATIONAL BANK QPSC COMMON STOCK QAR 1</t>
        </is>
      </c>
      <c r="C16" s="18" t="n">
        <v>469868.43</v>
      </c>
      <c r="D16" s="19">
        <f>C16/$C$129</f>
        <v/>
      </c>
      <c r="E16" s="20" t="inlineStr">
        <is>
          <t>6148197</t>
        </is>
      </c>
    </row>
    <row r="17">
      <c r="A17" s="41" t="n">
        <v>73566</v>
      </c>
      <c r="B17" s="2" t="inlineStr">
        <is>
          <t>SAUDI ARABIAN OIL CO COMMON STOCK SAR</t>
        </is>
      </c>
      <c r="C17" s="18" t="n">
        <v>416170.3</v>
      </c>
      <c r="D17" s="19">
        <f>C17/$C$129</f>
        <v/>
      </c>
      <c r="E17" s="20" t="inlineStr">
        <is>
          <t>BJTM270</t>
        </is>
      </c>
    </row>
    <row r="18">
      <c r="A18" s="41" t="n">
        <v>225483</v>
      </c>
      <c r="B18" s="2" t="inlineStr">
        <is>
          <t>EMAAR PROPERTIES PJSC COMMON STOCK AED 1</t>
        </is>
      </c>
      <c r="C18" s="33" t="n">
        <v>394247.69</v>
      </c>
      <c r="D18" s="19">
        <f>C18/$C$129</f>
        <v/>
      </c>
      <c r="E18" s="20" t="inlineStr">
        <is>
          <t>B01RM25</t>
        </is>
      </c>
    </row>
    <row r="19">
      <c r="A19" s="41" t="n">
        <v>51456</v>
      </c>
      <c r="B19" s="2" t="inlineStr">
        <is>
          <t>THE SAUDI NATIONAL BANK</t>
        </is>
      </c>
      <c r="C19" s="33" t="n">
        <v>365168.92</v>
      </c>
      <c r="D19" s="19">
        <f>C19/$C$129</f>
        <v/>
      </c>
      <c r="E19" s="20" t="inlineStr">
        <is>
          <t>BSHYYN1</t>
        </is>
      </c>
    </row>
    <row r="20">
      <c r="A20" s="41" t="n">
        <v>8780</v>
      </c>
      <c r="B20" s="2" t="inlineStr">
        <is>
          <t>OTP BANK NYRT COMMON STOCK HUF 100</t>
        </is>
      </c>
      <c r="C20" s="18" t="n">
        <v>345767.61</v>
      </c>
      <c r="D20" s="19">
        <f>C20/$C$129</f>
        <v/>
      </c>
      <c r="E20" s="20" t="inlineStr">
        <is>
          <t>7320154</t>
        </is>
      </c>
    </row>
    <row r="21">
      <c r="A21" s="41" t="n">
        <v>29624</v>
      </c>
      <c r="B21" s="2" t="inlineStr">
        <is>
          <t>POWSZECHNA KASA OSZCZEDNOSCI BANK POLSKI SA COMMON STOCK PLN 1</t>
        </is>
      </c>
      <c r="C21" s="18" t="n">
        <v>337691.89</v>
      </c>
      <c r="D21" s="19">
        <f>C21/$C$129</f>
        <v/>
      </c>
      <c r="E21" s="20" t="inlineStr">
        <is>
          <t>B03NGS5</t>
        </is>
      </c>
    </row>
    <row r="22">
      <c r="A22" s="41" t="n">
        <v>2142</v>
      </c>
      <c r="B22" s="2" t="inlineStr">
        <is>
          <t>NASPERS LTD COMMON STOCK ZAR 2</t>
        </is>
      </c>
      <c r="C22" s="18" t="n">
        <v>336632</v>
      </c>
      <c r="D22" s="19">
        <f>C22/$C$129</f>
        <v/>
      </c>
      <c r="E22" s="20" t="inlineStr">
        <is>
          <t>BN0VX82</t>
        </is>
      </c>
    </row>
    <row r="23">
      <c r="A23" s="41" t="n">
        <v>31177</v>
      </c>
      <c r="B23" s="2" t="inlineStr">
        <is>
          <t>GOLD FIELDS LTD COMMON STOCK ZAR 50</t>
        </is>
      </c>
      <c r="C23" s="18" t="n">
        <v>330842.56</v>
      </c>
      <c r="D23" s="19">
        <f>C23/$C$129</f>
        <v/>
      </c>
      <c r="E23" s="20" t="inlineStr">
        <is>
          <t>6280215</t>
        </is>
      </c>
    </row>
    <row r="24">
      <c r="A24" s="41" t="n">
        <v>78089</v>
      </c>
      <c r="B24" s="2" t="inlineStr">
        <is>
          <t>EMIRATES NBD BANK PJSC COMMON STOCK AED 1</t>
        </is>
      </c>
      <c r="C24" s="18" t="n">
        <v>318690.41</v>
      </c>
      <c r="D24" s="19">
        <f>C24/$C$129</f>
        <v/>
      </c>
      <c r="E24" s="20" t="inlineStr">
        <is>
          <t>B28PFX8</t>
        </is>
      </c>
    </row>
    <row r="25">
      <c r="A25" s="41" t="n">
        <v>49901</v>
      </c>
      <c r="B25" s="2" t="inlineStr">
        <is>
          <t>ALINMA BANK COMMON STOCK SAR 10</t>
        </is>
      </c>
      <c r="C25" s="18" t="n">
        <v>315684.74</v>
      </c>
      <c r="D25" s="19">
        <f>C25/$C$129</f>
        <v/>
      </c>
      <c r="E25" s="20" t="inlineStr">
        <is>
          <t>B39NWT3</t>
        </is>
      </c>
    </row>
    <row r="26">
      <c r="A26" s="41" t="n">
        <v>22007</v>
      </c>
      <c r="B26" s="2" t="inlineStr">
        <is>
          <t>HALYK SAVINGS BANK OF KAZAKHSTAN JSC GDR USD</t>
        </is>
      </c>
      <c r="C26" s="18" t="n">
        <v>293035.95</v>
      </c>
      <c r="D26" s="19">
        <f>C26/$C$129</f>
        <v/>
      </c>
      <c r="E26" s="20" t="inlineStr">
        <is>
          <t>B1KDG41</t>
        </is>
      </c>
    </row>
    <row r="27">
      <c r="A27" s="41" t="n">
        <v>9088</v>
      </c>
      <c r="B27" s="2" t="inlineStr">
        <is>
          <t>BANK POLSKA KASA OPIEKI SA COMMON STOCK PLN 1</t>
        </is>
      </c>
      <c r="C27" s="18" t="n">
        <v>283610.3</v>
      </c>
      <c r="D27" s="19">
        <f>C27/$C$129</f>
        <v/>
      </c>
      <c r="E27" s="20" t="inlineStr">
        <is>
          <t>5473113</t>
        </is>
      </c>
    </row>
    <row r="28">
      <c r="A28" s="41" t="n">
        <v>362649</v>
      </c>
      <c r="B28" s="2" t="inlineStr">
        <is>
          <t>LUKOIL PJSC COMMON STOCK RUB 0.025 RUB</t>
        </is>
      </c>
      <c r="C28" s="18" t="n">
        <v>156871.11</v>
      </c>
      <c r="D28" s="19">
        <f>C28/$C$129</f>
        <v/>
      </c>
      <c r="E28" s="20" t="inlineStr">
        <is>
          <t>2H6442S</t>
        </is>
      </c>
    </row>
    <row r="29">
      <c r="A29" s="41" t="n">
        <v>262047</v>
      </c>
      <c r="B29" s="2" t="inlineStr">
        <is>
          <t>LUKOIL PJSC COMMON STOCK RUB</t>
        </is>
      </c>
      <c r="C29" s="18" t="n">
        <v>124337.35</v>
      </c>
      <c r="D29" s="19">
        <f>C29/$C$129</f>
        <v/>
      </c>
      <c r="E29" s="20" t="inlineStr">
        <is>
          <t>0H5797S</t>
        </is>
      </c>
    </row>
    <row r="30">
      <c r="A30" s="28" t="n"/>
      <c r="B30" s="27" t="inlineStr">
        <is>
          <t>Subtotal</t>
        </is>
      </c>
      <c r="C30" s="29">
        <f>+C29+C28</f>
        <v/>
      </c>
      <c r="D30" s="31">
        <f>C30/$C$132</f>
        <v/>
      </c>
      <c r="E30" s="20" t="n"/>
    </row>
    <row r="31">
      <c r="A31" s="28" t="n">
        <v>148768</v>
      </c>
      <c r="B31" s="2" t="inlineStr">
        <is>
          <t>ABU DHABI COMMERCIAL BANK PJSC COMMON STOCK AED 1</t>
        </is>
      </c>
      <c r="C31" s="18" t="n">
        <v>268435.89</v>
      </c>
      <c r="D31" s="19">
        <f>C31/$C$129</f>
        <v/>
      </c>
      <c r="E31" s="20" t="inlineStr">
        <is>
          <t>6545464</t>
        </is>
      </c>
    </row>
    <row r="32">
      <c r="A32" s="28" t="n">
        <v>35367</v>
      </c>
      <c r="B32" s="2" t="inlineStr">
        <is>
          <t>ABSA GROUP LTD</t>
        </is>
      </c>
      <c r="C32" s="18" t="n">
        <v>266436.5</v>
      </c>
      <c r="D32" s="19">
        <f>C32/$C$129</f>
        <v/>
      </c>
      <c r="E32" s="20" t="inlineStr">
        <is>
          <t>BFX05H3</t>
        </is>
      </c>
    </row>
    <row r="33">
      <c r="A33" s="28" t="n">
        <v>19991</v>
      </c>
      <c r="B33" s="2" t="inlineStr">
        <is>
          <t>SHOPRITE HOLDINGS LTD COMMON STOCK ZAR 113.4</t>
        </is>
      </c>
      <c r="C33" s="18" t="n">
        <v>265649.87</v>
      </c>
      <c r="D33" s="19">
        <f>C33/$C$129</f>
        <v/>
      </c>
      <c r="E33" s="20" t="inlineStr">
        <is>
          <t>6801575</t>
        </is>
      </c>
    </row>
    <row r="34">
      <c r="A34" s="28" t="n">
        <v>70158</v>
      </c>
      <c r="B34" s="2" t="inlineStr">
        <is>
          <t>TUPRAS-TURKIYE PETROL RAFINE</t>
        </is>
      </c>
      <c r="C34" s="18" t="n">
        <v>264182.33</v>
      </c>
      <c r="D34" s="19">
        <f>C34/$C$129</f>
        <v/>
      </c>
      <c r="E34" s="20" t="inlineStr">
        <is>
          <t>B03MYT9</t>
        </is>
      </c>
    </row>
    <row r="35">
      <c r="A35" s="28" t="n">
        <v>11178</v>
      </c>
      <c r="B35" s="2" t="inlineStr">
        <is>
          <t>RICHTER GEDEON NYRT COMMON STOCK HUF 100</t>
        </is>
      </c>
      <c r="C35" s="18" t="n">
        <v>258294.53</v>
      </c>
      <c r="D35" s="19">
        <f>C35/$C$129</f>
        <v/>
      </c>
      <c r="E35" s="20" t="inlineStr">
        <is>
          <t>BC9ZH86</t>
        </is>
      </c>
    </row>
    <row r="36">
      <c r="A36" s="28" t="n">
        <v>98209</v>
      </c>
      <c r="B36" s="2" t="inlineStr">
        <is>
          <t>ABU DHABI ISLAMIC BANK PJSC COMMON STOCK AED 1</t>
        </is>
      </c>
      <c r="C36" s="18" t="n">
        <v>255537.03</v>
      </c>
      <c r="D36" s="19">
        <f>C36/$C$129</f>
        <v/>
      </c>
      <c r="E36" s="20" t="inlineStr">
        <is>
          <t>6001728</t>
        </is>
      </c>
    </row>
    <row r="37">
      <c r="A37" s="28" t="n">
        <v>161482</v>
      </c>
      <c r="B37" s="2" t="inlineStr">
        <is>
          <t>ALDAR PROPERTIES PJSC COMMON STOCK AED 1</t>
        </is>
      </c>
      <c r="C37" s="18" t="n">
        <v>241866.28</v>
      </c>
      <c r="D37" s="19">
        <f>C37/$C$129</f>
        <v/>
      </c>
      <c r="E37" s="20" t="inlineStr">
        <is>
          <t>B0LX3Y2</t>
        </is>
      </c>
    </row>
    <row r="38">
      <c r="A38" s="28" t="n">
        <v>2401</v>
      </c>
      <c r="B38" s="2" t="inlineStr">
        <is>
          <t>JSC KASPI.KZ GDR-REG S</t>
        </is>
      </c>
      <c r="C38" s="18" t="n">
        <v>239177.42</v>
      </c>
      <c r="D38" s="19">
        <f>C38/$C$129</f>
        <v/>
      </c>
      <c r="E38" s="20" t="inlineStr">
        <is>
          <t>BJY21K1</t>
        </is>
      </c>
    </row>
    <row r="39">
      <c r="A39" s="28" t="n">
        <v>31227</v>
      </c>
      <c r="B39" s="2" t="inlineStr">
        <is>
          <t>HARMONY GOLD MINING CO LTD COMMON STOCK ZAR 50</t>
        </is>
      </c>
      <c r="C39" s="18" t="n">
        <v>238205.4</v>
      </c>
      <c r="D39" s="19">
        <f>C39/$C$129</f>
        <v/>
      </c>
      <c r="E39" s="20" t="inlineStr">
        <is>
          <t>6410562</t>
        </is>
      </c>
    </row>
    <row r="40">
      <c r="A40" s="28" t="n">
        <v>44928</v>
      </c>
      <c r="B40" s="2" t="inlineStr">
        <is>
          <t>RIYAD BANK COMMON STOCK SAR 10</t>
        </is>
      </c>
      <c r="C40" s="18" t="n">
        <v>235031.75</v>
      </c>
      <c r="D40" s="19">
        <f>C40/$C$129</f>
        <v/>
      </c>
      <c r="E40" s="20" t="inlineStr">
        <is>
          <t>B12LZW4</t>
        </is>
      </c>
    </row>
    <row r="41">
      <c r="A41" s="28" t="n">
        <v>7421</v>
      </c>
      <c r="B41" s="2" t="inlineStr">
        <is>
          <t>TBC BANK GROUP PLC COMMON STOCK GBP 1</t>
        </is>
      </c>
      <c r="C41" s="18" t="n">
        <v>233761.5</v>
      </c>
      <c r="D41" s="19">
        <f>C41/$C$129</f>
        <v/>
      </c>
      <c r="E41" s="20" t="inlineStr">
        <is>
          <t>BYT1830</t>
        </is>
      </c>
    </row>
    <row r="42">
      <c r="A42" s="28" t="n">
        <v>8205</v>
      </c>
      <c r="B42" s="2" t="inlineStr">
        <is>
          <t>NAC KAZATOMPROM JSC GDR USD</t>
        </is>
      </c>
      <c r="C42" s="18" t="n">
        <v>228809.78</v>
      </c>
      <c r="D42" s="19">
        <f>C42/$C$129</f>
        <v/>
      </c>
      <c r="E42" s="20" t="inlineStr">
        <is>
          <t>BGXQL36</t>
        </is>
      </c>
    </row>
    <row r="43">
      <c r="A43" s="28" t="n">
        <v>355644</v>
      </c>
      <c r="B43" s="2" t="inlineStr">
        <is>
          <t>ADNOC GAS PLC</t>
        </is>
      </c>
      <c r="C43" s="18" t="n">
        <v>226923.31</v>
      </c>
      <c r="D43" s="19">
        <f>C43/$C$129</f>
        <v/>
      </c>
      <c r="E43" s="20" t="inlineStr">
        <is>
          <t>BPJLW35</t>
        </is>
      </c>
    </row>
    <row r="44">
      <c r="A44" s="28" t="n">
        <v>4992</v>
      </c>
      <c r="B44" s="2" t="inlineStr">
        <is>
          <t>BANK OF GEORGIA GROUP PLC COMMON STOCK GBP 1</t>
        </is>
      </c>
      <c r="C44" s="18" t="n">
        <v>226886.4</v>
      </c>
      <c r="D44" s="19">
        <f>C44/$C$129</f>
        <v/>
      </c>
      <c r="E44" s="20" t="inlineStr">
        <is>
          <t>BF4HYT8</t>
        </is>
      </c>
    </row>
    <row r="45">
      <c r="A45" s="28" t="n">
        <v>250715</v>
      </c>
      <c r="B45" s="2" t="inlineStr">
        <is>
          <t>ADNOC DRILLING CO PJSC COMMON STOCK AED</t>
        </is>
      </c>
      <c r="C45" s="18" t="n">
        <v>226453.85</v>
      </c>
      <c r="D45" s="19">
        <f>C45/$C$129</f>
        <v/>
      </c>
      <c r="E45" s="20" t="inlineStr">
        <is>
          <t>BN12D39</t>
        </is>
      </c>
    </row>
    <row r="46">
      <c r="A46" s="28" t="n">
        <v>127190</v>
      </c>
      <c r="B46" s="2" t="inlineStr">
        <is>
          <t>EUROBANK ERGASIAS SERVICES AND HOLDINGS SA COMMON STOCK EUR 0.22</t>
        </is>
      </c>
      <c r="C46" s="18" t="n">
        <v>220673.71</v>
      </c>
      <c r="D46" s="19">
        <f>C46/$C$129</f>
        <v/>
      </c>
      <c r="E46" s="20" t="inlineStr">
        <is>
          <t>BYZ43T4</t>
        </is>
      </c>
    </row>
    <row r="47">
      <c r="A47" s="28" t="n">
        <v>8860909</v>
      </c>
      <c r="B47" s="2" t="inlineStr">
        <is>
          <t>GAZPROM PJSC COMMON STOCK RUB</t>
        </is>
      </c>
      <c r="C47" s="18" t="n">
        <v>194166.67</v>
      </c>
      <c r="D47" s="19">
        <f>C47/$C$129</f>
        <v/>
      </c>
      <c r="E47" s="20" t="inlineStr">
        <is>
          <t>0H5796S</t>
        </is>
      </c>
    </row>
    <row r="48">
      <c r="A48" s="28" t="n">
        <v>5365084</v>
      </c>
      <c r="B48" s="2" t="inlineStr">
        <is>
          <t>GAZPROM PJSC ADR</t>
        </is>
      </c>
      <c r="C48" s="18" t="n">
        <v>23734.14</v>
      </c>
      <c r="D48" s="19">
        <f>C48/$C$129</f>
        <v/>
      </c>
      <c r="E48" s="20" t="inlineStr">
        <is>
          <t>0H6364S</t>
        </is>
      </c>
    </row>
    <row r="49">
      <c r="A49" s="28" t="n"/>
      <c r="B49" s="27" t="inlineStr">
        <is>
          <t>Subtotal</t>
        </is>
      </c>
      <c r="C49" s="29">
        <f>+C48+C47</f>
        <v/>
      </c>
      <c r="D49" s="31">
        <f>C49/$C$132</f>
        <v/>
      </c>
      <c r="E49" s="38" t="n"/>
    </row>
    <row r="50">
      <c r="A50" s="41" t="n">
        <v>24635</v>
      </c>
      <c r="B50" s="2" t="inlineStr">
        <is>
          <t>SAUDI TELECOM CO COMMON STOCK</t>
        </is>
      </c>
      <c r="C50" s="18" t="n">
        <v>214788.37</v>
      </c>
      <c r="D50" s="19">
        <f>C50/$C$129</f>
        <v/>
      </c>
      <c r="E50" s="38" t="inlineStr">
        <is>
          <t>B12M7Q5</t>
        </is>
      </c>
    </row>
    <row r="51">
      <c r="A51" s="41" t="n">
        <v>55547</v>
      </c>
      <c r="B51" s="2" t="inlineStr">
        <is>
          <t>SANLAM LTD COMMON STOCK ZAR 1</t>
        </is>
      </c>
      <c r="C51" s="18" t="n">
        <v>211575.8</v>
      </c>
      <c r="D51" s="19">
        <f>C51/$C$129</f>
        <v/>
      </c>
      <c r="E51" s="38" t="inlineStr">
        <is>
          <t>B0L6750</t>
        </is>
      </c>
    </row>
    <row r="52">
      <c r="A52" s="41" t="n">
        <v>42467</v>
      </c>
      <c r="B52" s="2" t="inlineStr">
        <is>
          <t>BANCA TRANSILVANIA SA COMMON STOCK RON 1</t>
        </is>
      </c>
      <c r="C52" s="18" t="n">
        <v>206632.98</v>
      </c>
      <c r="D52" s="19">
        <f>C52/$C$129</f>
        <v/>
      </c>
      <c r="E52" s="38" t="inlineStr">
        <is>
          <t>5393307</t>
        </is>
      </c>
    </row>
    <row r="53">
      <c r="A53" s="41" t="n">
        <v>71</v>
      </c>
      <c r="B53" s="2" t="inlineStr">
        <is>
          <t>LPP SA COMMON STOCK PLN 2</t>
        </is>
      </c>
      <c r="C53" s="18" t="n">
        <v>206183.7</v>
      </c>
      <c r="D53" s="19">
        <f>C53/$C$129</f>
        <v/>
      </c>
      <c r="E53" s="38" t="inlineStr">
        <is>
          <t>7127979</t>
        </is>
      </c>
    </row>
    <row r="54">
      <c r="A54" s="41" t="n">
        <v>14455036</v>
      </c>
      <c r="B54" s="2" t="inlineStr">
        <is>
          <t>SBERBANK OF RUSSIA PJSC PREFERENCE RUB 3</t>
        </is>
      </c>
      <c r="C54" s="18" t="n">
        <v>174732.32</v>
      </c>
      <c r="D54" s="19">
        <f>C54/$C$129</f>
        <v/>
      </c>
      <c r="E54" s="38" t="inlineStr">
        <is>
          <t>0H5856S</t>
        </is>
      </c>
    </row>
    <row r="55">
      <c r="A55" s="41" t="n">
        <v>2355925</v>
      </c>
      <c r="B55" s="2" t="inlineStr">
        <is>
          <t>SBERBANK OF RUSSIA PJSC</t>
        </is>
      </c>
      <c r="C55" s="18" t="n">
        <v>28272.57</v>
      </c>
      <c r="D55" s="19">
        <f>C55/$C$129</f>
        <v/>
      </c>
      <c r="E55" s="38" t="inlineStr">
        <is>
          <t>0H5855S</t>
        </is>
      </c>
    </row>
    <row r="56">
      <c r="A56" s="41" t="n"/>
      <c r="B56" s="27" t="inlineStr">
        <is>
          <t>Subtotal</t>
        </is>
      </c>
      <c r="C56" s="29">
        <f>+C55+C54</f>
        <v/>
      </c>
      <c r="D56" s="31">
        <f>C56/$C$132</f>
        <v/>
      </c>
      <c r="E56" s="38" t="n"/>
    </row>
    <row r="57">
      <c r="A57" s="28" t="n">
        <v>9893</v>
      </c>
      <c r="B57" s="2" t="inlineStr">
        <is>
          <t>NOVA LJUBLJANSKA BANKA DD GDR EUR</t>
        </is>
      </c>
      <c r="C57" s="18" t="n">
        <v>201638.65</v>
      </c>
      <c r="D57" s="19">
        <f>C57/$C$129</f>
        <v/>
      </c>
      <c r="E57" s="38" t="inlineStr">
        <is>
          <t>BGRPD22</t>
        </is>
      </c>
    </row>
    <row r="58">
      <c r="A58" s="28" t="n">
        <v>10435</v>
      </c>
      <c r="B58" s="2" t="inlineStr">
        <is>
          <t>JUMBO SA COMMON STOCK EUR 0.88</t>
        </is>
      </c>
      <c r="C58" s="18" t="n">
        <v>201084.63</v>
      </c>
      <c r="D58" s="19">
        <f>C58/$C$129</f>
        <v/>
      </c>
      <c r="E58" s="38" t="inlineStr">
        <is>
          <t>7243530</t>
        </is>
      </c>
    </row>
    <row r="59">
      <c r="A59" s="28" t="n">
        <v>4537</v>
      </c>
      <c r="B59" s="2" t="inlineStr">
        <is>
          <t>LEEJAM SPORTS CO JSC COMMON STOCK SAR 10</t>
        </is>
      </c>
      <c r="C59" s="18" t="n">
        <v>199074.56</v>
      </c>
      <c r="D59" s="19">
        <f>C59/$C$129</f>
        <v/>
      </c>
      <c r="E59" s="38" t="inlineStr">
        <is>
          <t>BF12ZV5</t>
        </is>
      </c>
    </row>
    <row r="60">
      <c r="A60" s="28" t="n">
        <v>27950</v>
      </c>
      <c r="B60" s="2" t="inlineStr">
        <is>
          <t>TURK HAVA YOLLARI AO COMMON STOCK TRY 1</t>
        </is>
      </c>
      <c r="C60" s="18" t="n">
        <v>187583.78</v>
      </c>
      <c r="D60" s="19">
        <f>C60/$C$129</f>
        <v/>
      </c>
      <c r="E60" s="38" t="inlineStr">
        <is>
          <t>B03MYK0</t>
        </is>
      </c>
    </row>
    <row r="61">
      <c r="A61" s="28" t="n">
        <v>7008</v>
      </c>
      <c r="B61" s="2" t="inlineStr">
        <is>
          <t>SAUDI ARAMCO BASE OIL CO COMMON STOCK SAR 10</t>
        </is>
      </c>
      <c r="C61" s="18" t="n">
        <v>187283.38</v>
      </c>
      <c r="D61" s="19">
        <f>C61/$C$129</f>
        <v/>
      </c>
      <c r="E61" s="38" t="inlineStr">
        <is>
          <t>BMDKMB5</t>
        </is>
      </c>
    </row>
    <row r="62">
      <c r="A62" s="28" t="n">
        <v>28042</v>
      </c>
      <c r="B62" s="2" t="inlineStr">
        <is>
          <t>NATIONAL BANK OF GREECE SA COMMON STOCK EUR 1</t>
        </is>
      </c>
      <c r="C62" s="18" t="n">
        <v>185494.18</v>
      </c>
      <c r="D62" s="19">
        <f>C62/$C$129</f>
        <v/>
      </c>
      <c r="E62" s="38" t="inlineStr">
        <is>
          <t>BG087C6</t>
        </is>
      </c>
    </row>
    <row r="63">
      <c r="A63" s="28" t="n">
        <v>11541</v>
      </c>
      <c r="B63" s="2" t="inlineStr">
        <is>
          <t>CLICKS GROUP LTD COMMON STOCK ZAR 1</t>
        </is>
      </c>
      <c r="C63" s="18" t="n">
        <v>184818.16</v>
      </c>
      <c r="D63" s="19">
        <f>C63/$C$129</f>
        <v/>
      </c>
      <c r="E63" s="38" t="inlineStr">
        <is>
          <t>6105578</t>
        </is>
      </c>
    </row>
    <row r="64">
      <c r="A64" s="28" t="n">
        <v>144384</v>
      </c>
      <c r="B64" s="2" t="inlineStr">
        <is>
          <t>DUBAI ISLAMIC BANK PJSC COMMON STOCK AED 1</t>
        </is>
      </c>
      <c r="C64" s="18" t="n">
        <v>183354.87</v>
      </c>
      <c r="D64" s="19">
        <f>C64/$C$129</f>
        <v/>
      </c>
      <c r="E64" s="38" t="inlineStr">
        <is>
          <t>6283452</t>
        </is>
      </c>
    </row>
    <row r="65">
      <c r="A65" s="41" t="n">
        <v>15181</v>
      </c>
      <c r="B65" s="2" t="inlineStr">
        <is>
          <t>BIM BIRLESIK MAGAZALAR AS COMMON STOCK TRY 1</t>
        </is>
      </c>
      <c r="C65" s="33" t="n">
        <v>183089.37</v>
      </c>
      <c r="D65" s="19">
        <f>C65/$C$129</f>
        <v/>
      </c>
      <c r="E65" s="38" t="inlineStr">
        <is>
          <t>B0D0006</t>
        </is>
      </c>
    </row>
    <row r="66">
      <c r="A66" s="28" t="n">
        <v>196322</v>
      </c>
      <c r="B66" s="2" t="inlineStr">
        <is>
          <t>QATAR GAS TRANSPORT CO LTD COMMON STOCK QAR 1</t>
        </is>
      </c>
      <c r="C66" s="18" t="n">
        <v>182324.22</v>
      </c>
      <c r="D66" s="19">
        <f>C66/$C$129</f>
        <v/>
      </c>
      <c r="E66" s="38" t="inlineStr">
        <is>
          <t>B0MLBC9</t>
        </is>
      </c>
    </row>
    <row r="67">
      <c r="A67" s="28" t="n">
        <v>8057</v>
      </c>
      <c r="B67" s="2" t="inlineStr">
        <is>
          <t>RIYADH CABLES GROUP CO COMMON STOCK SAR 10</t>
        </is>
      </c>
      <c r="C67" s="18" t="n">
        <v>181663.59</v>
      </c>
      <c r="D67" s="19">
        <f>C67/$C$129</f>
        <v/>
      </c>
      <c r="E67" s="38" t="inlineStr">
        <is>
          <t>BNBPXW7</t>
        </is>
      </c>
    </row>
    <row r="68">
      <c r="A68" s="28" t="n">
        <v>9725</v>
      </c>
      <c r="B68" s="2" t="inlineStr">
        <is>
          <t>UNITED INTERNATIONAL TRANSPORTATION CO COMMON STOCK SAR 10</t>
        </is>
      </c>
      <c r="C68" s="18" t="n">
        <v>179243.42</v>
      </c>
      <c r="D68" s="19">
        <f>C68/$C$129</f>
        <v/>
      </c>
      <c r="E68" s="38" t="inlineStr">
        <is>
          <t>B2493D0</t>
        </is>
      </c>
    </row>
    <row r="69">
      <c r="A69" s="28" t="n">
        <v>361140</v>
      </c>
      <c r="B69" s="2" t="inlineStr">
        <is>
          <t>DUBAI ELECTRICITY &amp; WATER AU</t>
        </is>
      </c>
      <c r="C69" s="18" t="n">
        <v>178807.78</v>
      </c>
      <c r="D69" s="19">
        <f>C69/$C$129</f>
        <v/>
      </c>
      <c r="E69" s="38" t="inlineStr">
        <is>
          <t>BJLTVJ4</t>
        </is>
      </c>
    </row>
    <row r="70">
      <c r="A70" s="28" t="n">
        <v>19378</v>
      </c>
      <c r="B70" s="2" t="inlineStr">
        <is>
          <t>POWSZECHNY ZAKLAD UBEZPIECZEN SA COMMON STOCK PLN 0.1</t>
        </is>
      </c>
      <c r="C70" s="18" t="n">
        <v>178059.85</v>
      </c>
      <c r="D70" s="19">
        <f>C70/$C$129</f>
        <v/>
      </c>
      <c r="E70" s="38" t="inlineStr">
        <is>
          <t>B63DG21</t>
        </is>
      </c>
    </row>
    <row r="71">
      <c r="A71" s="28" t="n">
        <v>14151</v>
      </c>
      <c r="B71" s="2" t="inlineStr">
        <is>
          <t>BIDVEST GROUP LTD/THE COMMON STOCK ZAR 5</t>
        </is>
      </c>
      <c r="C71" s="18" t="n">
        <v>176595.58</v>
      </c>
      <c r="D71" s="19">
        <f>C71/$C$129</f>
        <v/>
      </c>
      <c r="E71" s="38" t="inlineStr">
        <is>
          <t>6100089</t>
        </is>
      </c>
    </row>
    <row r="72">
      <c r="A72" s="28" t="n">
        <v>234924</v>
      </c>
      <c r="B72" s="2" t="inlineStr">
        <is>
          <t>PARKIN CO PJSC COMMON STOCK AED 0.02</t>
        </is>
      </c>
      <c r="C72" s="18" t="n">
        <v>172283.45</v>
      </c>
      <c r="D72" s="19">
        <f>C72/$C$129</f>
        <v/>
      </c>
      <c r="E72" s="38" t="inlineStr">
        <is>
          <t>BRRGQF6</t>
        </is>
      </c>
    </row>
    <row r="73">
      <c r="A73" s="28" t="n">
        <v>4593</v>
      </c>
      <c r="B73" s="2" t="inlineStr">
        <is>
          <t>ALKHORAYEF WATER &amp; POWER TECHNOLOGIES CO COMMON STOCK SAR 10</t>
        </is>
      </c>
      <c r="C73" s="18" t="n">
        <v>169495.27</v>
      </c>
      <c r="D73" s="19">
        <f>C73/$C$129</f>
        <v/>
      </c>
      <c r="E73" s="38" t="inlineStr">
        <is>
          <t>BN33QN1</t>
        </is>
      </c>
    </row>
    <row r="74">
      <c r="A74" s="28" t="n">
        <v>9203</v>
      </c>
      <c r="B74" s="2" t="inlineStr">
        <is>
          <t>MOTOR OIL HELLAS CORINTH REFINERIES SA COMMON STOCK EUR 0.75</t>
        </is>
      </c>
      <c r="C74" s="18" t="n">
        <v>168197.51</v>
      </c>
      <c r="D74" s="19">
        <f>C74/$C$129</f>
        <v/>
      </c>
      <c r="E74" s="38" t="inlineStr">
        <is>
          <t>5996234</t>
        </is>
      </c>
    </row>
    <row r="75">
      <c r="A75" s="28" t="n">
        <v>1892</v>
      </c>
      <c r="B75" s="2" t="inlineStr">
        <is>
          <t>KRUK SA COMMON STOCK PLN 1</t>
        </is>
      </c>
      <c r="C75" s="18" t="n">
        <v>165874.51</v>
      </c>
      <c r="D75" s="19">
        <f>C75/$C$129</f>
        <v/>
      </c>
      <c r="E75" s="38" t="inlineStr">
        <is>
          <t>B4PTLY0</t>
        </is>
      </c>
    </row>
    <row r="76">
      <c r="A76" s="28" t="n">
        <v>74864</v>
      </c>
      <c r="B76" s="2" t="inlineStr">
        <is>
          <t>MAGYAR TELEKOM TELECOMMUNICATIONS PLC COMMON STOCK HUF 100</t>
        </is>
      </c>
      <c r="C76" s="18" t="n">
        <v>163835.72</v>
      </c>
      <c r="D76" s="19">
        <f>C76/$C$129</f>
        <v/>
      </c>
      <c r="E76" s="38" t="inlineStr">
        <is>
          <t>4577469</t>
        </is>
      </c>
    </row>
    <row r="77">
      <c r="A77" s="28" t="n">
        <v>39150</v>
      </c>
      <c r="B77" s="2" t="inlineStr">
        <is>
          <t>ADES HOLDING CO COMMON STOCK SAR 1</t>
        </is>
      </c>
      <c r="C77" s="18" t="n">
        <v>162256.61</v>
      </c>
      <c r="D77" s="19">
        <f>C77/$C$129</f>
        <v/>
      </c>
      <c r="E77" s="38" t="inlineStr">
        <is>
          <t>BR56KM3</t>
        </is>
      </c>
    </row>
    <row r="78">
      <c r="A78" s="28" t="n">
        <v>5598</v>
      </c>
      <c r="B78" s="2" t="inlineStr">
        <is>
          <t>METLEN ENERGY &amp; METALS SA COMMON STOCK EUR 0.97</t>
        </is>
      </c>
      <c r="C78" s="18" t="n">
        <v>160303.21</v>
      </c>
      <c r="D78" s="19">
        <f>C78/$C$129</f>
        <v/>
      </c>
      <c r="E78" s="38" t="inlineStr">
        <is>
          <t>5898664</t>
        </is>
      </c>
    </row>
    <row r="79">
      <c r="A79" s="28" t="n">
        <v>48227</v>
      </c>
      <c r="B79" s="2" t="inlineStr">
        <is>
          <t>PIRAEUS FINANCIAL HOLDINGS SA COMMON STOCK EUR 0.93</t>
        </is>
      </c>
      <c r="C79" s="18" t="n">
        <v>158410.97</v>
      </c>
      <c r="D79" s="19">
        <f>C79/$C$129</f>
        <v/>
      </c>
      <c r="E79" s="38" t="inlineStr">
        <is>
          <t>BNC0DB0</t>
        </is>
      </c>
    </row>
    <row r="80">
      <c r="A80" s="28" t="n">
        <v>764</v>
      </c>
      <c r="B80" s="2" t="inlineStr">
        <is>
          <t>ELM CO COMMON STOCK SAR 10</t>
        </is>
      </c>
      <c r="C80" s="18" t="n">
        <v>155252.1</v>
      </c>
      <c r="D80" s="19">
        <f>C80/$C$129</f>
        <v/>
      </c>
      <c r="E80" s="38" t="inlineStr">
        <is>
          <t>BNYDSH8</t>
        </is>
      </c>
    </row>
    <row r="81">
      <c r="A81" s="28" t="n">
        <v>30065</v>
      </c>
      <c r="B81" s="2" t="inlineStr">
        <is>
          <t>MOTUS HOLDINGS LTD COMMON STOCK ZAR</t>
        </is>
      </c>
      <c r="C81" s="18" t="n">
        <v>155166.24</v>
      </c>
      <c r="D81" s="19">
        <f>C81/$C$129</f>
        <v/>
      </c>
      <c r="E81" s="38" t="inlineStr">
        <is>
          <t>BDRN3H0</t>
        </is>
      </c>
    </row>
    <row r="82">
      <c r="A82" s="28" t="n">
        <v>12548</v>
      </c>
      <c r="B82" s="2" t="inlineStr">
        <is>
          <t>HELLENIC TELECOMMUNICATIONS ORGANIZATION SA COMMON STOCK EUR 2.83</t>
        </is>
      </c>
      <c r="C82" s="18" t="n">
        <v>154931.2</v>
      </c>
      <c r="D82" s="19">
        <f>C82/$C$129</f>
        <v/>
      </c>
      <c r="E82" s="38" t="inlineStr">
        <is>
          <t>5051605</t>
        </is>
      </c>
    </row>
    <row r="83">
      <c r="A83" s="28" t="n">
        <v>133931</v>
      </c>
      <c r="B83" s="2" t="inlineStr">
        <is>
          <t>ADNOC LOGISTICS &amp; SERVICES COMMON STOCK AED</t>
        </is>
      </c>
      <c r="C83" s="18" t="n">
        <v>149826.21</v>
      </c>
      <c r="D83" s="19">
        <f>C83/$C$129</f>
        <v/>
      </c>
      <c r="E83" s="38" t="inlineStr">
        <is>
          <t>BRBN103</t>
        </is>
      </c>
    </row>
    <row r="84">
      <c r="A84" s="28" t="n">
        <v>11282</v>
      </c>
      <c r="B84" s="2" t="inlineStr">
        <is>
          <t>OPAP SA COMMON STOCK EUR 0.3</t>
        </is>
      </c>
      <c r="C84" s="18" t="n">
        <v>148611.78</v>
      </c>
      <c r="D84" s="19">
        <f>C84/$C$129</f>
        <v/>
      </c>
      <c r="E84" s="38" t="inlineStr">
        <is>
          <t>7107250</t>
        </is>
      </c>
    </row>
    <row r="85">
      <c r="A85" s="28" t="n">
        <v>234111</v>
      </c>
      <c r="B85" s="2" t="inlineStr">
        <is>
          <t>TECOM GROUP PJSC COMMON STOCK AED</t>
        </is>
      </c>
      <c r="C85" s="18" t="n">
        <v>147922.61</v>
      </c>
      <c r="D85" s="19">
        <f>C85/$C$129</f>
        <v/>
      </c>
      <c r="E85" s="38" t="inlineStr">
        <is>
          <t>BLDC8Q1</t>
        </is>
      </c>
    </row>
    <row r="86">
      <c r="A86" s="28" t="n">
        <v>1268490</v>
      </c>
      <c r="B86" s="2" t="inlineStr">
        <is>
          <t>NOVATEK PJSC COMMON STOCK RUB 0.1</t>
        </is>
      </c>
      <c r="C86" s="18" t="n">
        <v>135114.79</v>
      </c>
      <c r="D86" s="19">
        <f>C86/$C$129</f>
        <v/>
      </c>
      <c r="E86" s="38" t="inlineStr">
        <is>
          <t>2H6464S</t>
        </is>
      </c>
    </row>
    <row r="87">
      <c r="A87" s="28" t="n">
        <v>103572</v>
      </c>
      <c r="B87" s="2" t="inlineStr">
        <is>
          <t>NOVATEK PJSC COMMON STOCK RUB 0.1</t>
        </is>
      </c>
      <c r="C87" s="18" t="n">
        <v>12101.08</v>
      </c>
      <c r="D87" s="19">
        <f>C87/$C$129</f>
        <v/>
      </c>
      <c r="E87" s="38" t="inlineStr">
        <is>
          <t>0H5828S</t>
        </is>
      </c>
    </row>
    <row r="88">
      <c r="A88" s="28" t="n"/>
      <c r="B88" s="27" t="inlineStr">
        <is>
          <t>Subtotal</t>
        </is>
      </c>
      <c r="C88" s="29">
        <f>+C87+C86</f>
        <v/>
      </c>
      <c r="D88" s="31">
        <f>C88/$C$132</f>
        <v/>
      </c>
      <c r="E88" s="38" t="n"/>
    </row>
    <row r="89">
      <c r="A89" s="28" t="n">
        <v>5652</v>
      </c>
      <c r="B89" s="2" t="inlineStr">
        <is>
          <t>KOMERCNI BANKA AS COMMON STOCK CZK 100</t>
        </is>
      </c>
      <c r="C89" s="18" t="n">
        <v>145590.9</v>
      </c>
      <c r="D89" s="19">
        <f>C89/$C$129</f>
        <v/>
      </c>
      <c r="E89" s="38" t="inlineStr">
        <is>
          <t>4519449</t>
        </is>
      </c>
    </row>
    <row r="90">
      <c r="A90" s="28" t="n">
        <v>111134</v>
      </c>
      <c r="B90" s="2" t="inlineStr">
        <is>
          <t>AKBANK TAS COMMON STOCK TRY 1</t>
        </is>
      </c>
      <c r="C90" s="18" t="n">
        <v>144705.32</v>
      </c>
      <c r="D90" s="19">
        <f>C90/$C$129</f>
        <v/>
      </c>
      <c r="E90" s="38" t="inlineStr">
        <is>
          <t>B03MN70</t>
        </is>
      </c>
    </row>
    <row r="91">
      <c r="A91" s="28" t="n">
        <v>20423</v>
      </c>
      <c r="B91" s="2" t="inlineStr">
        <is>
          <t>SAUDI AWWAL BANK COMMON STOCK SAR 10</t>
        </is>
      </c>
      <c r="C91" s="18" t="n">
        <v>144315.19</v>
      </c>
      <c r="D91" s="19">
        <f>C91/$C$129</f>
        <v/>
      </c>
      <c r="E91" s="38" t="inlineStr">
        <is>
          <t>B12LSY7</t>
        </is>
      </c>
    </row>
    <row r="92">
      <c r="A92" s="28" t="n">
        <v>31957</v>
      </c>
      <c r="B92" s="2" t="inlineStr">
        <is>
          <t>ARABIAN CENTRES CO COMMON STOCK SAR 10</t>
        </is>
      </c>
      <c r="C92" s="18" t="n">
        <v>143849.62</v>
      </c>
      <c r="D92" s="19">
        <f>C92/$C$129</f>
        <v/>
      </c>
      <c r="E92" s="38" t="inlineStr">
        <is>
          <t>BKBF694</t>
        </is>
      </c>
    </row>
    <row r="93">
      <c r="A93" s="41" t="n">
        <v>7428</v>
      </c>
      <c r="B93" s="2" t="inlineStr">
        <is>
          <t>BID CORP LTD COMMON STOCK ZAR</t>
        </is>
      </c>
      <c r="C93" s="33" t="n">
        <v>142973.31</v>
      </c>
      <c r="D93" s="19">
        <f>C93/$C$129</f>
        <v/>
      </c>
      <c r="E93" s="38" t="inlineStr">
        <is>
          <t>BZBFKT7</t>
        </is>
      </c>
    </row>
    <row r="94">
      <c r="A94" s="28" t="n">
        <v>187852</v>
      </c>
      <c r="B94" s="2" t="inlineStr">
        <is>
          <t>SALIK CO PJSC COMMON STOCK AED 0.01</t>
        </is>
      </c>
      <c r="C94" s="18" t="n">
        <v>142821.9</v>
      </c>
      <c r="D94" s="19">
        <f>C94/$C$129</f>
        <v/>
      </c>
      <c r="E94" s="38" t="inlineStr">
        <is>
          <t>BJN5952</t>
        </is>
      </c>
    </row>
    <row r="95">
      <c r="A95" s="28" t="n">
        <v>4403</v>
      </c>
      <c r="B95" s="2" t="inlineStr">
        <is>
          <t>CO FOR COOPERATIVE INSURANCE/THE COMMON STOCK SAR 10</t>
        </is>
      </c>
      <c r="C95" s="18" t="n">
        <v>140878.73</v>
      </c>
      <c r="D95" s="19">
        <f>C95/$C$129</f>
        <v/>
      </c>
      <c r="E95" s="38" t="inlineStr">
        <is>
          <t>B128FN6</t>
        </is>
      </c>
    </row>
    <row r="96">
      <c r="A96" s="28" t="n">
        <v>105464</v>
      </c>
      <c r="B96" s="2" t="inlineStr">
        <is>
          <t>ALPHA SERVICES AND HOLDINGS SA COMMON STOCK EUR 0.29</t>
        </is>
      </c>
      <c r="C96" s="18" t="n">
        <v>137367.68</v>
      </c>
      <c r="D96" s="19">
        <f>C96/$C$129</f>
        <v/>
      </c>
      <c r="E96" s="38" t="inlineStr">
        <is>
          <t>BZ1MXR7</t>
        </is>
      </c>
    </row>
    <row r="97">
      <c r="A97" s="28" t="n">
        <v>60427</v>
      </c>
      <c r="B97" s="2" t="inlineStr">
        <is>
          <t>OOREDOO QPSC COMMON STOCK QAR 1</t>
        </is>
      </c>
      <c r="C97" s="18" t="n">
        <v>137265.66</v>
      </c>
      <c r="D97" s="19">
        <f>C97/$C$129</f>
        <v/>
      </c>
      <c r="E97" s="38" t="inlineStr">
        <is>
          <t>6158174</t>
        </is>
      </c>
    </row>
    <row r="98">
      <c r="A98" s="28" t="n">
        <v>61090</v>
      </c>
      <c r="B98" s="2" t="inlineStr">
        <is>
          <t>TURKCELL ILETISIM HIZMET AS</t>
        </is>
      </c>
      <c r="C98" s="18" t="n">
        <v>134119.72</v>
      </c>
      <c r="D98" s="19">
        <f>C98/$C$129</f>
        <v/>
      </c>
      <c r="E98" s="38" t="inlineStr">
        <is>
          <t>B03MYN3</t>
        </is>
      </c>
    </row>
    <row r="99">
      <c r="A99" s="28" t="n">
        <v>23384</v>
      </c>
      <c r="B99" s="2" t="inlineStr">
        <is>
          <t>MOL HUNGARIAN OIL &amp; GAS PLC COMMON STOCK HUF 125</t>
        </is>
      </c>
      <c r="C99" s="18" t="n">
        <v>133455.3</v>
      </c>
      <c r="D99" s="19">
        <f>C99/$C$129</f>
        <v/>
      </c>
      <c r="E99" s="38" t="inlineStr">
        <is>
          <t>BD5ZXH8</t>
        </is>
      </c>
    </row>
    <row r="100">
      <c r="A100" s="28" t="n">
        <v>30154</v>
      </c>
      <c r="B100" s="2" t="inlineStr">
        <is>
          <t>AVI LTD COMMON STOCK ZAR 5</t>
        </is>
      </c>
      <c r="C100" s="18" t="n">
        <v>131111.6</v>
      </c>
      <c r="D100" s="19">
        <f>C100/$C$129</f>
        <v/>
      </c>
      <c r="E100" s="38" t="inlineStr">
        <is>
          <t>6040958</t>
        </is>
      </c>
    </row>
    <row r="101">
      <c r="A101" s="28" t="n">
        <v>7119200</v>
      </c>
      <c r="B101" s="2" t="inlineStr">
        <is>
          <t>MMC NORILSK NICKEL PJSC COMMON STOCK RUB 1</t>
        </is>
      </c>
      <c r="C101" s="18" t="n">
        <v>130749.74</v>
      </c>
      <c r="D101" s="19">
        <f>C101/$C$129</f>
        <v/>
      </c>
      <c r="E101" s="38" t="inlineStr">
        <is>
          <t>0H5804S</t>
        </is>
      </c>
    </row>
    <row r="102">
      <c r="A102" s="28" t="n">
        <v>453680</v>
      </c>
      <c r="B102" s="2" t="inlineStr">
        <is>
          <t>TURKIYE SIGORTA AS COMMON STOCK TRY 1</t>
        </is>
      </c>
      <c r="C102" s="18" t="n">
        <v>127366.12</v>
      </c>
      <c r="D102" s="19">
        <f>C102/$C$129</f>
        <v/>
      </c>
      <c r="E102" s="38" t="inlineStr">
        <is>
          <t>B03MTD8</t>
        </is>
      </c>
    </row>
    <row r="103">
      <c r="A103" s="28" t="n">
        <v>2526</v>
      </c>
      <c r="B103" s="2" t="inlineStr">
        <is>
          <t>BUPA ARABIA FOR COOPERATIVE INSURANCE CO COMMON STOCK SAR 10</t>
        </is>
      </c>
      <c r="C103" s="18" t="n">
        <v>118518.58</v>
      </c>
      <c r="D103" s="19">
        <f>C103/$C$129</f>
        <v/>
      </c>
      <c r="E103" s="38" t="inlineStr">
        <is>
          <t>B2RLCR0</t>
        </is>
      </c>
    </row>
    <row r="104">
      <c r="A104" s="28" t="n">
        <v>165133</v>
      </c>
      <c r="B104" s="2" t="inlineStr">
        <is>
          <t>YAPI VE KREDI BANKASI AS COMMON STOCK TRY 1</t>
        </is>
      </c>
      <c r="C104" s="18" t="n">
        <v>115068.77</v>
      </c>
      <c r="D104" s="19">
        <f>C104/$C$129</f>
        <v/>
      </c>
      <c r="E104" s="38" t="inlineStr">
        <is>
          <t>B03MZJ6</t>
        </is>
      </c>
    </row>
    <row r="105">
      <c r="A105" s="28" t="n">
        <v>4570</v>
      </c>
      <c r="B105" s="2" t="inlineStr">
        <is>
          <t>ALDREES PETROLEUM AND TRANSPORT SERVICES CO COMMON STOCK SAR 10</t>
        </is>
      </c>
      <c r="C105" s="18" t="n">
        <v>114160.71</v>
      </c>
      <c r="D105" s="19">
        <f>C105/$C$129</f>
        <v/>
      </c>
      <c r="E105" s="38" t="inlineStr">
        <is>
          <t>B128FF8</t>
        </is>
      </c>
    </row>
    <row r="106">
      <c r="A106" s="28" t="n">
        <v>2657</v>
      </c>
      <c r="B106" s="2" t="inlineStr">
        <is>
          <t>ERSTE GROUP BANK AG COMMON STOCK EUR 0</t>
        </is>
      </c>
      <c r="C106" s="18" t="n">
        <v>110614.63</v>
      </c>
      <c r="D106" s="19">
        <f>C106/$C$129</f>
        <v/>
      </c>
      <c r="E106" s="38" t="inlineStr">
        <is>
          <t>5289837</t>
        </is>
      </c>
    </row>
    <row r="107">
      <c r="A107" s="28" t="n">
        <v>2041744</v>
      </c>
      <c r="B107" s="2" t="inlineStr">
        <is>
          <t>ROSNEFT OIL CO PJSC COMMON STOCK RUB 0.01</t>
        </is>
      </c>
      <c r="C107" s="18" t="n">
        <v>57828.97</v>
      </c>
      <c r="D107" s="19">
        <f>C107/$C$129</f>
        <v/>
      </c>
      <c r="E107" s="38" t="inlineStr">
        <is>
          <t>0H5827S</t>
        </is>
      </c>
    </row>
    <row r="108">
      <c r="A108" s="28" t="n">
        <v>1677948</v>
      </c>
      <c r="B108" s="2" t="inlineStr">
        <is>
          <t>ROSNEFT OIL CO PJSC COMMON STOCK RUB</t>
        </is>
      </c>
      <c r="C108" s="18" t="n">
        <v>43379.39</v>
      </c>
      <c r="D108" s="19">
        <f>C108/$C$129</f>
        <v/>
      </c>
      <c r="E108" s="38" t="inlineStr">
        <is>
          <t>2H7674S</t>
        </is>
      </c>
    </row>
    <row r="109">
      <c r="A109" s="28" t="n"/>
      <c r="B109" s="27" t="inlineStr">
        <is>
          <t>Subtotal</t>
        </is>
      </c>
      <c r="C109" s="29">
        <f>+C108+C107</f>
        <v/>
      </c>
      <c r="D109" s="31">
        <f>C109/$C$132</f>
        <v/>
      </c>
      <c r="E109" s="38" t="n"/>
    </row>
    <row r="110">
      <c r="A110" s="28" t="n">
        <v>5361</v>
      </c>
      <c r="B110" s="2" t="inlineStr">
        <is>
          <t>RAIFFEISEN BANK INTERNATIONAL AG COMMON STOCK EUR 0</t>
        </is>
      </c>
      <c r="C110" s="18" t="n">
        <v>80821.92999999999</v>
      </c>
      <c r="D110" s="19">
        <f>C110/$C$129</f>
        <v/>
      </c>
      <c r="E110" s="38" t="inlineStr">
        <is>
          <t>B0704T9</t>
        </is>
      </c>
    </row>
    <row r="111">
      <c r="A111" s="28" t="n">
        <v>3385</v>
      </c>
      <c r="B111" s="2" t="inlineStr">
        <is>
          <t>ARABIAN DRILLING CO COMMON STOCK SAR 10</t>
        </is>
      </c>
      <c r="C111" s="18" t="n">
        <v>80578</v>
      </c>
      <c r="D111" s="19">
        <f>C111/$C$129</f>
        <v/>
      </c>
      <c r="E111" s="38" t="inlineStr">
        <is>
          <t>BPNZYP9</t>
        </is>
      </c>
    </row>
    <row r="112">
      <c r="A112" s="28" t="n">
        <v>3657350</v>
      </c>
      <c r="B112" s="2" t="inlineStr">
        <is>
          <t>NOVOLIPETSK STEEL PJSC COMMON STOCK RUB</t>
        </is>
      </c>
      <c r="C112" s="18" t="n">
        <v>57560.16</v>
      </c>
      <c r="D112" s="19">
        <f>C112/$C$129</f>
        <v/>
      </c>
      <c r="E112" s="38" t="inlineStr">
        <is>
          <t>2H7675S</t>
        </is>
      </c>
    </row>
    <row r="113">
      <c r="A113" s="28" t="n">
        <v>180877</v>
      </c>
      <c r="B113" s="2" t="inlineStr">
        <is>
          <t>MAGNIT PJSC COMMON STOCK RUB 0.01</t>
        </is>
      </c>
      <c r="C113" s="18" t="n">
        <v>51563.03</v>
      </c>
      <c r="D113" s="19">
        <f>C113/$C$129</f>
        <v/>
      </c>
      <c r="E113" s="38" t="inlineStr">
        <is>
          <t>0H5813S</t>
        </is>
      </c>
    </row>
    <row r="114">
      <c r="A114" s="28" t="n">
        <v>1265335</v>
      </c>
      <c r="B114" s="2" t="inlineStr">
        <is>
          <t>GAZPROM NEFT PJSC COMMON STOCK RUB</t>
        </is>
      </c>
      <c r="C114" s="18" t="n">
        <v>46595.85</v>
      </c>
      <c r="D114" s="19">
        <f>C114/$C$129</f>
        <v/>
      </c>
      <c r="E114" s="38" t="inlineStr">
        <is>
          <t>0H5803S</t>
        </is>
      </c>
    </row>
    <row r="115">
      <c r="A115" s="28" t="n">
        <v>730066</v>
      </c>
      <c r="B115" s="2" t="inlineStr">
        <is>
          <t>TATNEFT PJSC COMMON STOCK RUB</t>
        </is>
      </c>
      <c r="C115" s="18" t="n">
        <v>25199.82</v>
      </c>
      <c r="D115" s="19">
        <f>C115/$C$129</f>
        <v/>
      </c>
      <c r="E115" s="38" t="inlineStr">
        <is>
          <t>0H5822S</t>
        </is>
      </c>
    </row>
    <row r="116">
      <c r="A116" s="28" t="n">
        <v>571359</v>
      </c>
      <c r="B116" s="2" t="inlineStr">
        <is>
          <t>TATNEFT PJSC PREFERENCE RUB 1</t>
        </is>
      </c>
      <c r="C116" s="18" t="n">
        <v>17464.96</v>
      </c>
      <c r="D116" s="19">
        <f>C116/$C$129</f>
        <v/>
      </c>
      <c r="E116" s="38" t="inlineStr">
        <is>
          <t>0H5816S</t>
        </is>
      </c>
    </row>
    <row r="117">
      <c r="A117" s="28" t="n"/>
      <c r="B117" s="27" t="inlineStr">
        <is>
          <t>Subtotal</t>
        </is>
      </c>
      <c r="C117" s="29">
        <f>+C116+C115</f>
        <v/>
      </c>
      <c r="D117" s="31">
        <f>C117/$C$132</f>
        <v/>
      </c>
      <c r="E117" s="38" t="n"/>
    </row>
    <row r="118">
      <c r="A118" s="28" t="n">
        <v>6156103</v>
      </c>
      <c r="B118" s="2" t="inlineStr">
        <is>
          <t>ROSTELECOM PJSC COMMON STOCK RUB</t>
        </is>
      </c>
      <c r="C118" s="18" t="n">
        <v>40193.67</v>
      </c>
      <c r="D118" s="19">
        <f>C118/$C$129</f>
        <v/>
      </c>
      <c r="E118" s="38" t="inlineStr">
        <is>
          <t>0H5802S</t>
        </is>
      </c>
    </row>
    <row r="119">
      <c r="A119" s="28" t="n">
        <v>4246654</v>
      </c>
      <c r="B119" s="2" t="inlineStr">
        <is>
          <t>VTB BANK PJSC COMMON STOCK RUB 0.01</t>
        </is>
      </c>
      <c r="C119" s="18" t="n">
        <v>39097.97</v>
      </c>
      <c r="D119" s="19">
        <f>C119/$C$129</f>
        <v/>
      </c>
      <c r="E119" s="38" t="inlineStr">
        <is>
          <t>0H5837S</t>
        </is>
      </c>
    </row>
    <row r="120">
      <c r="A120" s="28" t="n">
        <v>29773</v>
      </c>
      <c r="B120" s="2" t="inlineStr">
        <is>
          <t>POLYUS PJSC COMMON STOCK RUB</t>
        </is>
      </c>
      <c r="C120" s="18" t="n">
        <v>27799.55</v>
      </c>
      <c r="D120" s="19">
        <f>C120/$C$129</f>
        <v/>
      </c>
      <c r="E120" s="38" t="inlineStr">
        <is>
          <t>2H7182S</t>
        </is>
      </c>
    </row>
    <row r="121">
      <c r="A121" s="28" t="n">
        <v>169819</v>
      </c>
      <c r="B121" s="2" t="inlineStr">
        <is>
          <t>YANDEX NV COMMON STOCK USD 0.01</t>
        </is>
      </c>
      <c r="C121" s="18" t="n">
        <v>24473.06</v>
      </c>
      <c r="D121" s="19">
        <f>C121/$C$129</f>
        <v/>
      </c>
      <c r="E121" s="38" t="inlineStr">
        <is>
          <t>0H6379S</t>
        </is>
      </c>
    </row>
    <row r="122">
      <c r="A122" s="28" t="n">
        <v>432517</v>
      </c>
      <c r="B122" s="2" t="inlineStr">
        <is>
          <t>MD MEDICAL GROUP INVESTMENTS PLC GDR USD</t>
        </is>
      </c>
      <c r="C122" s="18" t="n">
        <v>18758.58</v>
      </c>
      <c r="D122" s="19">
        <f>C122/$C$129</f>
        <v/>
      </c>
      <c r="E122" s="38" t="inlineStr">
        <is>
          <t>0H6371S</t>
        </is>
      </c>
    </row>
    <row r="123">
      <c r="A123" s="28" t="n">
        <v>12313057</v>
      </c>
      <c r="B123" s="2" t="inlineStr">
        <is>
          <t>SISTEMA PJSFC COMMON STOCK RUB 0.09</t>
        </is>
      </c>
      <c r="C123" s="18" t="n">
        <v>14099.33</v>
      </c>
      <c r="D123" s="19">
        <f>C123/$C$129</f>
        <v/>
      </c>
      <c r="E123" s="38" t="inlineStr">
        <is>
          <t>0H5808S</t>
        </is>
      </c>
    </row>
    <row r="124">
      <c r="A124" s="28" t="n">
        <v>577525</v>
      </c>
      <c r="B124" s="2" t="inlineStr">
        <is>
          <t>FIX PRICE GROUP LTD GDR</t>
        </is>
      </c>
      <c r="C124" s="18" t="n">
        <v>4130.68</v>
      </c>
      <c r="D124" s="19">
        <f>C124/$C$129</f>
        <v/>
      </c>
      <c r="E124" s="38" t="inlineStr">
        <is>
          <t>0H6372S</t>
        </is>
      </c>
    </row>
    <row r="125">
      <c r="A125" s="28" t="n">
        <v>75226</v>
      </c>
      <c r="B125" s="2" t="inlineStr">
        <is>
          <t>TCS GROUP HOLDING PLC GDR</t>
        </is>
      </c>
      <c r="C125" s="18" t="n">
        <v>1827.64</v>
      </c>
      <c r="D125" s="19">
        <f>C125/$C$129</f>
        <v/>
      </c>
      <c r="E125" s="38" t="inlineStr">
        <is>
          <t>0H6380S</t>
        </is>
      </c>
    </row>
    <row r="126">
      <c r="A126" s="28" t="n">
        <v>275182</v>
      </c>
      <c r="B126" s="2" t="inlineStr">
        <is>
          <t>X 5 RETAIL GROUP NV-REGS GDR</t>
        </is>
      </c>
      <c r="C126" s="18" t="n">
        <v>1112.67</v>
      </c>
      <c r="D126" s="19">
        <f>C126/$C$129</f>
        <v/>
      </c>
      <c r="E126" s="38" t="inlineStr">
        <is>
          <t>0H6365S</t>
        </is>
      </c>
    </row>
    <row r="127">
      <c r="A127" s="28" t="n">
        <v>552780</v>
      </c>
      <c r="B127" s="2" t="inlineStr">
        <is>
          <t>SEVERSTAL PAO GDR USD</t>
        </is>
      </c>
      <c r="C127" s="18" t="n">
        <v>252.78</v>
      </c>
      <c r="D127" s="19">
        <f>C127/$C$129</f>
        <v/>
      </c>
      <c r="E127" s="38" t="inlineStr">
        <is>
          <t>0H6368S</t>
        </is>
      </c>
    </row>
    <row r="128">
      <c r="A128" s="28" t="n"/>
      <c r="B128" s="2" t="n"/>
      <c r="C128" s="18" t="n"/>
      <c r="D128" s="19" t="n"/>
      <c r="E128" s="38" t="n"/>
    </row>
    <row r="129">
      <c r="A129" s="28" t="n"/>
      <c r="B129" s="21" t="inlineStr">
        <is>
          <t>Total portfolio</t>
        </is>
      </c>
      <c r="C129" s="39">
        <f>SUM(C12:C29)+SUM(C31:C48)+SUM(C50:C55)+SUM(C57:C87)+SUM(C89:C108)+SUM(C110:C116)+SUM(C118:C127)</f>
        <v/>
      </c>
      <c r="D129" s="19">
        <f>C129/$C$132</f>
        <v/>
      </c>
      <c r="E129" s="20" t="n"/>
    </row>
    <row r="130">
      <c r="A130" s="28" t="n"/>
      <c r="B130" s="21" t="inlineStr">
        <is>
          <t>Net Current Assets</t>
        </is>
      </c>
      <c r="C130" s="39" t="n">
        <v>117763.89</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ht="12.75" customHeight="1" s="42">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2"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135"/>
  <sheetViews>
    <sheetView topLeftCell="A109" workbookViewId="0">
      <selection activeCell="B129" sqref="B129"/>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July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32585</v>
      </c>
      <c r="B12" s="2" t="inlineStr">
        <is>
          <t>AL RAJHI BANK COMMON STOCK SAR 10</t>
        </is>
      </c>
      <c r="C12" s="18" t="n">
        <v>578116.52</v>
      </c>
      <c r="D12" s="19">
        <f>C12/$C$128</f>
        <v/>
      </c>
      <c r="E12" s="20" t="inlineStr">
        <is>
          <t>B12LZH9</t>
        </is>
      </c>
    </row>
    <row r="13">
      <c r="A13" s="41" t="n">
        <v>164763</v>
      </c>
      <c r="B13" s="2" t="inlineStr">
        <is>
          <t>FIRSTRAND LTD COMMON STOCK ZAR 1</t>
        </is>
      </c>
      <c r="C13" s="18" t="n">
        <v>576034.96</v>
      </c>
      <c r="D13" s="19">
        <f>C13/$C$128</f>
        <v/>
      </c>
      <c r="E13" s="20" t="inlineStr">
        <is>
          <t>6606996</t>
        </is>
      </c>
    </row>
    <row r="14">
      <c r="A14" s="41" t="n">
        <v>514330.73</v>
      </c>
      <c r="B14" s="2" t="inlineStr">
        <is>
          <t>JPM GBP LIQUIDITY LVNAV X (DIST.)</t>
        </is>
      </c>
      <c r="C14" s="18" t="n">
        <v>514330.73</v>
      </c>
      <c r="D14" s="19">
        <f>C14/$C$128</f>
        <v/>
      </c>
      <c r="E14" s="20" t="inlineStr">
        <is>
          <t>5819115</t>
        </is>
      </c>
    </row>
    <row r="15">
      <c r="A15" s="41" t="n">
        <v>142756</v>
      </c>
      <c r="B15" s="45" t="inlineStr">
        <is>
          <t>QATAR NATIONAL BANK QPSC COMMON STOCK QAR 1</t>
        </is>
      </c>
      <c r="C15" s="33" t="n">
        <v>466728.12</v>
      </c>
      <c r="D15" s="19">
        <f>C15/$C$128</f>
        <v/>
      </c>
      <c r="E15" s="20" t="inlineStr">
        <is>
          <t>6148197</t>
        </is>
      </c>
    </row>
    <row r="16">
      <c r="A16" s="41" t="n">
        <v>47354</v>
      </c>
      <c r="B16" s="2" t="inlineStr">
        <is>
          <t>STANDARD BANK GROUP LTD COMMON STOCK ZAR 10</t>
        </is>
      </c>
      <c r="C16" s="18" t="n">
        <v>449468.54</v>
      </c>
      <c r="D16" s="19">
        <f>C16/$C$128</f>
        <v/>
      </c>
      <c r="E16" s="20" t="inlineStr">
        <is>
          <t>B030GJ7</t>
        </is>
      </c>
    </row>
    <row r="17">
      <c r="A17" s="41" t="n">
        <v>31177</v>
      </c>
      <c r="B17" s="2" t="inlineStr">
        <is>
          <t>GOLD FIELDS LTD COMMON STOCK ZAR 50</t>
        </is>
      </c>
      <c r="C17" s="18" t="n">
        <v>425869.6</v>
      </c>
      <c r="D17" s="19">
        <f>C17/$C$128</f>
        <v/>
      </c>
      <c r="E17" s="20" t="inlineStr">
        <is>
          <t>6280215</t>
        </is>
      </c>
    </row>
    <row r="18">
      <c r="A18" s="41" t="n">
        <v>73566</v>
      </c>
      <c r="B18" s="2" t="inlineStr">
        <is>
          <t>SAUDI ARABIAN OIL CO COMMON STOCK SAR</t>
        </is>
      </c>
      <c r="C18" s="33" t="n">
        <v>421325.52</v>
      </c>
      <c r="D18" s="19">
        <f>C18/$C$128</f>
        <v/>
      </c>
      <c r="E18" s="20" t="inlineStr">
        <is>
          <t>BJTM270</t>
        </is>
      </c>
    </row>
    <row r="19">
      <c r="A19" s="41" t="n">
        <v>225483</v>
      </c>
      <c r="B19" s="2" t="inlineStr">
        <is>
          <t>EMAAR PROPERTIES PJSC COMMON STOCK AED 1</t>
        </is>
      </c>
      <c r="C19" s="33" t="n">
        <v>412464.4</v>
      </c>
      <c r="D19" s="19">
        <f>C19/$C$128</f>
        <v/>
      </c>
      <c r="E19" s="20" t="inlineStr">
        <is>
          <t>B01RM25</t>
        </is>
      </c>
    </row>
    <row r="20">
      <c r="A20" s="41" t="n">
        <v>51456</v>
      </c>
      <c r="B20" s="2" t="inlineStr">
        <is>
          <t>THE SAUDI NATIONAL BANK</t>
        </is>
      </c>
      <c r="C20" s="18" t="n">
        <v>405743.11</v>
      </c>
      <c r="D20" s="19">
        <f>C20/$C$128</f>
        <v/>
      </c>
      <c r="E20" s="20" t="inlineStr">
        <is>
          <t>BSHYYN1</t>
        </is>
      </c>
    </row>
    <row r="21">
      <c r="A21" s="41" t="n">
        <v>94036</v>
      </c>
      <c r="B21" s="2" t="inlineStr">
        <is>
          <t>EMIRATES NBD BANK PJSC COMMON STOCK AED 1</t>
        </is>
      </c>
      <c r="C21" s="18" t="n">
        <v>378712.48</v>
      </c>
      <c r="D21" s="19">
        <f>C21/$C$128</f>
        <v/>
      </c>
      <c r="E21" s="20" t="inlineStr">
        <is>
          <t>B28PFX8</t>
        </is>
      </c>
    </row>
    <row r="22">
      <c r="A22" s="41" t="n">
        <v>8780</v>
      </c>
      <c r="B22" s="2" t="inlineStr">
        <is>
          <t>OTP BANK NYRT COMMON STOCK HUF 100</t>
        </is>
      </c>
      <c r="C22" s="18" t="n">
        <v>349592.49</v>
      </c>
      <c r="D22" s="19">
        <f>C22/$C$128</f>
        <v/>
      </c>
      <c r="E22" s="20" t="inlineStr">
        <is>
          <t>7320154</t>
        </is>
      </c>
    </row>
    <row r="23">
      <c r="A23" s="41" t="n">
        <v>29624</v>
      </c>
      <c r="B23" s="2" t="inlineStr">
        <is>
          <t>POWSZECHNA KASA OSZCZEDNOSCI BANK POLSKI SA COMMON STOCK PLN 1</t>
        </is>
      </c>
      <c r="C23" s="18" t="n">
        <v>342543.48</v>
      </c>
      <c r="D23" s="19">
        <f>C23/$C$128</f>
        <v/>
      </c>
      <c r="E23" s="20" t="inlineStr">
        <is>
          <t>B03NGS5</t>
        </is>
      </c>
    </row>
    <row r="24">
      <c r="A24" s="41" t="n">
        <v>49901</v>
      </c>
      <c r="B24" s="2" t="inlineStr">
        <is>
          <t>ALINMA BANK COMMON STOCK SAR 10</t>
        </is>
      </c>
      <c r="C24" s="18" t="n">
        <v>334977.07</v>
      </c>
      <c r="D24" s="19">
        <f>C24/$C$128</f>
        <v/>
      </c>
      <c r="E24" s="20" t="inlineStr">
        <is>
          <t>B39NWT3</t>
        </is>
      </c>
    </row>
    <row r="25">
      <c r="A25" s="41" t="n">
        <v>95185</v>
      </c>
      <c r="B25" s="2" t="inlineStr">
        <is>
          <t>SANLAM LTD COMMON STOCK ZAR 1</t>
        </is>
      </c>
      <c r="C25" s="18" t="n">
        <v>332169.29</v>
      </c>
      <c r="D25" s="19">
        <f>C25/$C$128</f>
        <v/>
      </c>
      <c r="E25" s="20" t="inlineStr">
        <is>
          <t>B0L6750</t>
        </is>
      </c>
    </row>
    <row r="26">
      <c r="A26" s="41" t="n">
        <v>2142</v>
      </c>
      <c r="B26" s="2" t="inlineStr">
        <is>
          <t>NASPERS LTD COMMON STOCK ZAR 2</t>
        </is>
      </c>
      <c r="C26" s="18" t="n">
        <v>322724.35</v>
      </c>
      <c r="D26" s="19">
        <f>C26/$C$128</f>
        <v/>
      </c>
      <c r="E26" s="20" t="inlineStr">
        <is>
          <t>BN0VX82</t>
        </is>
      </c>
    </row>
    <row r="27">
      <c r="A27" s="41" t="n">
        <v>202697</v>
      </c>
      <c r="B27" s="2" t="inlineStr">
        <is>
          <t>ALDAR PROPERTIES PJSC COMMON STOCK AED 1</t>
        </is>
      </c>
      <c r="C27" s="18" t="n">
        <v>313640.43</v>
      </c>
      <c r="D27" s="19">
        <f>C27/$C$128</f>
        <v/>
      </c>
      <c r="E27" s="20" t="inlineStr">
        <is>
          <t>B0LX3Y2</t>
        </is>
      </c>
    </row>
    <row r="28">
      <c r="A28" s="41" t="n">
        <v>22007</v>
      </c>
      <c r="B28" s="2" t="inlineStr">
        <is>
          <t>HALYK SAVINGS BANK OF KAZAKHSTAN JSC GDR USD</t>
        </is>
      </c>
      <c r="C28" s="18" t="n">
        <v>300862.56</v>
      </c>
      <c r="D28" s="19">
        <f>C28/$C$128</f>
        <v/>
      </c>
      <c r="E28" s="20" t="inlineStr">
        <is>
          <t>B1KDG41</t>
        </is>
      </c>
    </row>
    <row r="29">
      <c r="A29" s="41" t="n">
        <v>362649</v>
      </c>
      <c r="B29" s="2" t="inlineStr">
        <is>
          <t>LUKOIL PJSC COMMON STOCK RUB 0.025 RUB</t>
        </is>
      </c>
      <c r="C29" s="18" t="n">
        <v>169285.34</v>
      </c>
      <c r="D29" s="19">
        <f>C29/$C$128</f>
        <v/>
      </c>
      <c r="E29" s="20" t="inlineStr">
        <is>
          <t>2H6442S</t>
        </is>
      </c>
    </row>
    <row r="30">
      <c r="A30" s="41" t="n">
        <v>262047</v>
      </c>
      <c r="B30" s="2" t="inlineStr">
        <is>
          <t>LUKOIL PJSC COMMON STOCK RUB</t>
        </is>
      </c>
      <c r="C30" s="18" t="n">
        <v>127222.05</v>
      </c>
      <c r="D30" s="19">
        <f>C30/$C$128</f>
        <v/>
      </c>
      <c r="E30" s="20" t="inlineStr">
        <is>
          <t>0H5797S</t>
        </is>
      </c>
    </row>
    <row r="31">
      <c r="A31" s="28" t="n"/>
      <c r="B31" s="27" t="inlineStr">
        <is>
          <t>Subtotal</t>
        </is>
      </c>
      <c r="C31" s="29">
        <f>+C30+C29</f>
        <v/>
      </c>
      <c r="D31" s="31">
        <f>C31/$C$131</f>
        <v/>
      </c>
      <c r="E31" s="20" t="n"/>
    </row>
    <row r="32">
      <c r="A32" s="28" t="n">
        <v>9088</v>
      </c>
      <c r="B32" s="2" t="inlineStr">
        <is>
          <t>BANK POLSKA KASA OPIEKI SA COMMON STOCK PLN 1</t>
        </is>
      </c>
      <c r="C32" s="18" t="n">
        <v>285979.28</v>
      </c>
      <c r="D32" s="19">
        <f>C32/$C$128</f>
        <v/>
      </c>
      <c r="E32" s="20" t="inlineStr">
        <is>
          <t>5473113</t>
        </is>
      </c>
    </row>
    <row r="33">
      <c r="A33" s="28" t="n">
        <v>148768</v>
      </c>
      <c r="B33" s="2" t="inlineStr">
        <is>
          <t>ABU DHABI COMMERCIAL BANK PJSC COMMON STOCK AED 1</t>
        </is>
      </c>
      <c r="C33" s="18" t="n">
        <v>278124.97</v>
      </c>
      <c r="D33" s="19">
        <f>C33/$C$128</f>
        <v/>
      </c>
      <c r="E33" s="20" t="inlineStr">
        <is>
          <t>6545464</t>
        </is>
      </c>
    </row>
    <row r="34">
      <c r="A34" s="28" t="n">
        <v>70158</v>
      </c>
      <c r="B34" s="2" t="inlineStr">
        <is>
          <t>TUPRAS-TURKIYE PETROL RAFINE</t>
        </is>
      </c>
      <c r="C34" s="18" t="n">
        <v>269225.21</v>
      </c>
      <c r="D34" s="19">
        <f>C34/$C$128</f>
        <v/>
      </c>
      <c r="E34" s="20" t="inlineStr">
        <is>
          <t>B03MYT9</t>
        </is>
      </c>
    </row>
    <row r="35">
      <c r="A35" s="28" t="n">
        <v>19991</v>
      </c>
      <c r="B35" s="2" t="inlineStr">
        <is>
          <t>SHOPRITE HOLDINGS LTD COMMON STOCK ZAR 113.4</t>
        </is>
      </c>
      <c r="C35" s="18" t="n">
        <v>260503.49</v>
      </c>
      <c r="D35" s="19">
        <f>C35/$C$128</f>
        <v/>
      </c>
      <c r="E35" s="20" t="inlineStr">
        <is>
          <t>6801575</t>
        </is>
      </c>
    </row>
    <row r="36">
      <c r="A36" s="28" t="n">
        <v>44928</v>
      </c>
      <c r="B36" s="2" t="inlineStr">
        <is>
          <t>RIYAD BANK COMMON STOCK SAR 10</t>
        </is>
      </c>
      <c r="C36" s="18" t="n">
        <v>255446.05</v>
      </c>
      <c r="D36" s="19">
        <f>C36/$C$128</f>
        <v/>
      </c>
      <c r="E36" s="20" t="inlineStr">
        <is>
          <t>B12LZW4</t>
        </is>
      </c>
    </row>
    <row r="37">
      <c r="A37" s="28" t="n">
        <v>98209</v>
      </c>
      <c r="B37" s="2" t="inlineStr">
        <is>
          <t>ABU DHABI ISLAMIC BANK PJSC COMMON STOCK AED 1</t>
        </is>
      </c>
      <c r="C37" s="18" t="n">
        <v>253964.48</v>
      </c>
      <c r="D37" s="19">
        <f>C37/$C$128</f>
        <v/>
      </c>
      <c r="E37" s="20" t="inlineStr">
        <is>
          <t>6001728</t>
        </is>
      </c>
    </row>
    <row r="38">
      <c r="A38" s="28" t="n">
        <v>11178</v>
      </c>
      <c r="B38" s="2" t="inlineStr">
        <is>
          <t>RICHTER GEDEON NYRT COMMON STOCK HUF 100</t>
        </is>
      </c>
      <c r="C38" s="18" t="n">
        <v>246134.57</v>
      </c>
      <c r="D38" s="19">
        <f>C38/$C$128</f>
        <v/>
      </c>
      <c r="E38" s="20" t="inlineStr">
        <is>
          <t>BC9ZH86</t>
        </is>
      </c>
    </row>
    <row r="39">
      <c r="A39" s="28" t="n">
        <v>2401</v>
      </c>
      <c r="B39" s="2" t="inlineStr">
        <is>
          <t>JSC KASPI.KZ GDR-REG S</t>
        </is>
      </c>
      <c r="C39" s="18" t="n">
        <v>243773.14</v>
      </c>
      <c r="D39" s="19">
        <f>C39/$C$128</f>
        <v/>
      </c>
      <c r="E39" s="20" t="inlineStr">
        <is>
          <t>BJY21K1</t>
        </is>
      </c>
    </row>
    <row r="40">
      <c r="A40" s="28" t="n">
        <v>8205</v>
      </c>
      <c r="B40" s="2" t="inlineStr">
        <is>
          <t>NAC KAZATOMPROM JSC GDR USD</t>
        </is>
      </c>
      <c r="C40" s="18" t="n">
        <v>242422.63</v>
      </c>
      <c r="D40" s="19">
        <f>C40/$C$128</f>
        <v/>
      </c>
      <c r="E40" s="20" t="inlineStr">
        <is>
          <t>BGXQL36</t>
        </is>
      </c>
    </row>
    <row r="41">
      <c r="A41" s="28" t="n">
        <v>35367</v>
      </c>
      <c r="B41" s="2" t="inlineStr">
        <is>
          <t>ABSA GROUP LTD</t>
        </is>
      </c>
      <c r="C41" s="18" t="n">
        <v>241741.15</v>
      </c>
      <c r="D41" s="19">
        <f>C41/$C$128</f>
        <v/>
      </c>
      <c r="E41" s="20" t="inlineStr">
        <is>
          <t>BFX05H3</t>
        </is>
      </c>
    </row>
    <row r="42">
      <c r="A42" s="28" t="n">
        <v>31227</v>
      </c>
      <c r="B42" s="2" t="inlineStr">
        <is>
          <t>HARMONY GOLD MINING CO LTD COMMON STOCK ZAR 50</t>
        </is>
      </c>
      <c r="C42" s="18" t="n">
        <v>237833.44</v>
      </c>
      <c r="D42" s="19">
        <f>C42/$C$128</f>
        <v/>
      </c>
      <c r="E42" s="20" t="inlineStr">
        <is>
          <t>6410562</t>
        </is>
      </c>
    </row>
    <row r="43">
      <c r="A43" s="28" t="n">
        <v>355644</v>
      </c>
      <c r="B43" s="2" t="inlineStr">
        <is>
          <t>ADNOC GAS PLC</t>
        </is>
      </c>
      <c r="C43" s="18" t="n">
        <v>233689.42</v>
      </c>
      <c r="D43" s="19">
        <f>C43/$C$128</f>
        <v/>
      </c>
      <c r="E43" s="20" t="inlineStr">
        <is>
          <t>BPJLW35</t>
        </is>
      </c>
    </row>
    <row r="44">
      <c r="A44" s="28" t="n">
        <v>250715</v>
      </c>
      <c r="B44" s="2" t="inlineStr">
        <is>
          <t>ADNOC DRILLING CO PJSC COMMON STOCK AED</t>
        </is>
      </c>
      <c r="C44" s="18" t="n">
        <v>230638.56</v>
      </c>
      <c r="D44" s="19">
        <f>C44/$C$128</f>
        <v/>
      </c>
      <c r="E44" s="20" t="inlineStr">
        <is>
          <t>BN12D39</t>
        </is>
      </c>
    </row>
    <row r="45">
      <c r="A45" s="28" t="n">
        <v>7421</v>
      </c>
      <c r="B45" s="2" t="inlineStr">
        <is>
          <t>TBC BANK GROUP PLC COMMON STOCK GBP 1</t>
        </is>
      </c>
      <c r="C45" s="18" t="n">
        <v>229679.95</v>
      </c>
      <c r="D45" s="19">
        <f>C45/$C$128</f>
        <v/>
      </c>
      <c r="E45" s="20" t="inlineStr">
        <is>
          <t>BYT1830</t>
        </is>
      </c>
    </row>
    <row r="46">
      <c r="A46" s="28" t="n">
        <v>4992</v>
      </c>
      <c r="B46" s="2" t="inlineStr">
        <is>
          <t>BANK OF GEORGIA GROUP PLC COMMON STOCK GBP 1</t>
        </is>
      </c>
      <c r="C46" s="18" t="n">
        <v>227635.2</v>
      </c>
      <c r="D46" s="19">
        <f>C46/$C$128</f>
        <v/>
      </c>
      <c r="E46" s="20" t="inlineStr">
        <is>
          <t>BF4HYT8</t>
        </is>
      </c>
    </row>
    <row r="47">
      <c r="A47" s="28" t="n">
        <v>127190</v>
      </c>
      <c r="B47" s="2" t="inlineStr">
        <is>
          <t>EUROBANK ERGASIAS SERVICES AND HOLDINGS SA COMMON STOCK EUR 0.22</t>
        </is>
      </c>
      <c r="C47" s="18" t="n">
        <v>226842.29</v>
      </c>
      <c r="D47" s="19">
        <f>C47/$C$128</f>
        <v/>
      </c>
      <c r="E47" s="20" t="inlineStr">
        <is>
          <t>BYZ43T4</t>
        </is>
      </c>
    </row>
    <row r="48">
      <c r="A48" s="28" t="n">
        <v>15181</v>
      </c>
      <c r="B48" s="2" t="inlineStr">
        <is>
          <t>BIM BIRLESIK MAGAZALAR AS COMMON STOCK TRY 1</t>
        </is>
      </c>
      <c r="C48" s="18" t="n">
        <v>223099.59</v>
      </c>
      <c r="D48" s="19">
        <f>C48/$C$128</f>
        <v/>
      </c>
      <c r="E48" s="20" t="inlineStr">
        <is>
          <t>B0D0006</t>
        </is>
      </c>
    </row>
    <row r="49">
      <c r="A49" s="28" t="n">
        <v>8860909</v>
      </c>
      <c r="B49" s="2" t="inlineStr">
        <is>
          <t>GAZPROM PJSC COMMON STOCK RUB</t>
        </is>
      </c>
      <c r="C49" s="18" t="n">
        <v>198671.45</v>
      </c>
      <c r="D49" s="19">
        <f>C49/$C$128</f>
        <v/>
      </c>
      <c r="E49" s="20" t="inlineStr">
        <is>
          <t>0H5796S</t>
        </is>
      </c>
    </row>
    <row r="50">
      <c r="A50" s="28" t="n">
        <v>5365084</v>
      </c>
      <c r="B50" s="2" t="inlineStr">
        <is>
          <t>GAZPROM PJSC ADR</t>
        </is>
      </c>
      <c r="C50" s="18" t="n">
        <v>24284.79</v>
      </c>
      <c r="D50" s="19">
        <f>C50/$C$128</f>
        <v/>
      </c>
      <c r="E50" s="20" t="inlineStr">
        <is>
          <t>0H6364S</t>
        </is>
      </c>
    </row>
    <row r="51">
      <c r="A51" s="28" t="n"/>
      <c r="B51" s="27" t="inlineStr">
        <is>
          <t>Subtotal</t>
        </is>
      </c>
      <c r="C51" s="29">
        <f>+C50+C49</f>
        <v/>
      </c>
      <c r="D51" s="31">
        <f>C51/$C$131</f>
        <v/>
      </c>
      <c r="E51" s="38" t="n"/>
    </row>
    <row r="52">
      <c r="A52" s="41" t="n">
        <v>9893</v>
      </c>
      <c r="B52" s="2" t="inlineStr">
        <is>
          <t>NOVA LJUBLJANSKA BANKA DD GDR EUR</t>
        </is>
      </c>
      <c r="C52" s="18" t="n">
        <v>218363.22</v>
      </c>
      <c r="D52" s="19">
        <f>C52/$C$128</f>
        <v/>
      </c>
      <c r="E52" s="38" t="inlineStr">
        <is>
          <t>BGRPD22</t>
        </is>
      </c>
    </row>
    <row r="53">
      <c r="A53" s="41" t="n">
        <v>71</v>
      </c>
      <c r="B53" s="2" t="inlineStr">
        <is>
          <t>LPP SA COMMON STOCK PLN 2</t>
        </is>
      </c>
      <c r="C53" s="18" t="n">
        <v>211581.65</v>
      </c>
      <c r="D53" s="19">
        <f>C53/$C$128</f>
        <v/>
      </c>
      <c r="E53" s="38" t="inlineStr">
        <is>
          <t>7127979</t>
        </is>
      </c>
    </row>
    <row r="54">
      <c r="A54" s="41" t="n">
        <v>14455036</v>
      </c>
      <c r="B54" s="2" t="inlineStr">
        <is>
          <t>SBERBANK OF RUSSIA PJSC PREFERENCE RUB 3</t>
        </is>
      </c>
      <c r="C54" s="18" t="n">
        <v>178786.21</v>
      </c>
      <c r="D54" s="19">
        <f>C54/$C$128</f>
        <v/>
      </c>
      <c r="E54" s="38" t="inlineStr">
        <is>
          <t>0H5856S</t>
        </is>
      </c>
    </row>
    <row r="55">
      <c r="A55" s="41" t="n">
        <v>2355925</v>
      </c>
      <c r="B55" s="2" t="inlineStr">
        <is>
          <t>SBERBANK OF RUSSIA PJSC</t>
        </is>
      </c>
      <c r="C55" s="18" t="n">
        <v>28928.51</v>
      </c>
      <c r="D55" s="19">
        <f>C55/$C$128</f>
        <v/>
      </c>
      <c r="E55" s="38" t="inlineStr">
        <is>
          <t>0H5855S</t>
        </is>
      </c>
    </row>
    <row r="56">
      <c r="A56" s="41" t="n"/>
      <c r="B56" s="27" t="inlineStr">
        <is>
          <t>Subtotal</t>
        </is>
      </c>
      <c r="C56" s="29">
        <f>+C55+C54</f>
        <v/>
      </c>
      <c r="D56" s="31">
        <f>C56/$C$131</f>
        <v/>
      </c>
      <c r="E56" s="38" t="n"/>
    </row>
    <row r="57">
      <c r="A57" s="28" t="n">
        <v>42467</v>
      </c>
      <c r="B57" s="2" t="inlineStr">
        <is>
          <t>BANCA TRANSILVANIA SA COMMON STOCK RON 1</t>
        </is>
      </c>
      <c r="C57" s="18" t="n">
        <v>207706.83</v>
      </c>
      <c r="D57" s="19">
        <f>C57/$C$128</f>
        <v/>
      </c>
      <c r="E57" s="38" t="inlineStr">
        <is>
          <t>5393307</t>
        </is>
      </c>
    </row>
    <row r="58">
      <c r="A58" s="28" t="n">
        <v>24635</v>
      </c>
      <c r="B58" s="2" t="inlineStr">
        <is>
          <t>SAUDI TELECOM CO COMMON STOCK</t>
        </is>
      </c>
      <c r="C58" s="18" t="n">
        <v>196553.35</v>
      </c>
      <c r="D58" s="19">
        <f>C58/$C$128</f>
        <v/>
      </c>
      <c r="E58" s="38" t="inlineStr">
        <is>
          <t>B12M7Q5</t>
        </is>
      </c>
    </row>
    <row r="59">
      <c r="A59" s="28" t="n">
        <v>28042</v>
      </c>
      <c r="B59" s="2" t="inlineStr">
        <is>
          <t>NATIONAL BANK OF GREECE SA COMMON STOCK EUR 1</t>
        </is>
      </c>
      <c r="C59" s="18" t="n">
        <v>191593.17</v>
      </c>
      <c r="D59" s="19">
        <f>C59/$C$128</f>
        <v/>
      </c>
      <c r="E59" s="38" t="inlineStr">
        <is>
          <t>BG087C6</t>
        </is>
      </c>
    </row>
    <row r="60">
      <c r="A60" s="28" t="n">
        <v>27950</v>
      </c>
      <c r="B60" s="2" t="inlineStr">
        <is>
          <t>TURK HAVA YOLLARI AO COMMON STOCK TRY 1</t>
        </is>
      </c>
      <c r="C60" s="18" t="n">
        <v>190096.25</v>
      </c>
      <c r="D60" s="19">
        <f>C60/$C$128</f>
        <v/>
      </c>
      <c r="E60" s="38" t="inlineStr">
        <is>
          <t>B03MYK0</t>
        </is>
      </c>
    </row>
    <row r="61">
      <c r="A61" s="28" t="n">
        <v>196322</v>
      </c>
      <c r="B61" s="2" t="inlineStr">
        <is>
          <t>QATAR GAS TRANSPORT CO LTD COMMON STOCK QAR 1</t>
        </is>
      </c>
      <c r="C61" s="18" t="n">
        <v>188905.06</v>
      </c>
      <c r="D61" s="19">
        <f>C61/$C$128</f>
        <v/>
      </c>
      <c r="E61" s="38" t="inlineStr">
        <is>
          <t>B0MLBC9</t>
        </is>
      </c>
    </row>
    <row r="62">
      <c r="A62" s="28" t="n">
        <v>4537</v>
      </c>
      <c r="B62" s="2" t="inlineStr">
        <is>
          <t>LEEJAM SPORTS CO JSC COMMON STOCK SAR 10</t>
        </is>
      </c>
      <c r="C62" s="18" t="n">
        <v>188291.33</v>
      </c>
      <c r="D62" s="19">
        <f>C62/$C$128</f>
        <v/>
      </c>
      <c r="E62" s="38" t="inlineStr">
        <is>
          <t>BF12ZV5</t>
        </is>
      </c>
    </row>
    <row r="63">
      <c r="A63" s="28" t="n">
        <v>7008</v>
      </c>
      <c r="B63" s="2" t="inlineStr">
        <is>
          <t>SAUDI ARAMCO BASE OIL CO COMMON STOCK SAR 10</t>
        </is>
      </c>
      <c r="C63" s="18" t="n">
        <v>188174.13</v>
      </c>
      <c r="D63" s="19">
        <f>C63/$C$128</f>
        <v/>
      </c>
      <c r="E63" s="38" t="inlineStr">
        <is>
          <t>BMDKMB5</t>
        </is>
      </c>
    </row>
    <row r="64">
      <c r="A64" s="28" t="n">
        <v>30929</v>
      </c>
      <c r="B64" s="2" t="inlineStr">
        <is>
          <t>MOL HUNGARIAN OIL &amp; GAS PLC COMMON STOCK HUF 125</t>
        </is>
      </c>
      <c r="C64" s="18" t="n">
        <v>186460.26</v>
      </c>
      <c r="D64" s="19">
        <f>C64/$C$128</f>
        <v/>
      </c>
      <c r="E64" s="38" t="inlineStr">
        <is>
          <t>BD5ZXH8</t>
        </is>
      </c>
    </row>
    <row r="65">
      <c r="A65" s="41" t="n">
        <v>9203</v>
      </c>
      <c r="B65" s="2" t="inlineStr">
        <is>
          <t>MOTOR OIL HELLAS CORINTH REFINERIES SA COMMON STOCK EUR 0.75</t>
        </is>
      </c>
      <c r="C65" s="33" t="n">
        <v>182044.56</v>
      </c>
      <c r="D65" s="19">
        <f>C65/$C$128</f>
        <v/>
      </c>
      <c r="E65" s="38" t="inlineStr">
        <is>
          <t>5996234</t>
        </is>
      </c>
    </row>
    <row r="66">
      <c r="A66" s="28" t="n">
        <v>361140</v>
      </c>
      <c r="B66" s="2" t="inlineStr">
        <is>
          <t>DUBAI ELECTRICITY &amp; WATER AU</t>
        </is>
      </c>
      <c r="C66" s="18" t="n">
        <v>180654.78</v>
      </c>
      <c r="D66" s="19">
        <f>C66/$C$128</f>
        <v/>
      </c>
      <c r="E66" s="38" t="inlineStr">
        <is>
          <t>BJLTVJ4</t>
        </is>
      </c>
    </row>
    <row r="67">
      <c r="A67" s="28" t="n">
        <v>9725</v>
      </c>
      <c r="B67" s="2" t="inlineStr">
        <is>
          <t>UNITED INTERNATIONAL TRANSPORTATION CO COMMON STOCK SAR 10</t>
        </is>
      </c>
      <c r="C67" s="18" t="n">
        <v>180409.19</v>
      </c>
      <c r="D67" s="19">
        <f>C67/$C$128</f>
        <v/>
      </c>
      <c r="E67" s="38" t="inlineStr">
        <is>
          <t>B2493D0</t>
        </is>
      </c>
    </row>
    <row r="68">
      <c r="A68" s="28" t="n">
        <v>144384</v>
      </c>
      <c r="B68" s="2" t="inlineStr">
        <is>
          <t>DUBAI ISLAMIC BANK PJSC COMMON STOCK AED 1</t>
        </is>
      </c>
      <c r="C68" s="18" t="n">
        <v>178728.49</v>
      </c>
      <c r="D68" s="19">
        <f>C68/$C$128</f>
        <v/>
      </c>
      <c r="E68" s="38" t="inlineStr">
        <is>
          <t>6283452</t>
        </is>
      </c>
    </row>
    <row r="69">
      <c r="A69" s="28" t="n">
        <v>74864</v>
      </c>
      <c r="B69" s="2" t="inlineStr">
        <is>
          <t>MAGYAR TELEKOM TELECOMMUNICATIONS PLC COMMON STOCK HUF 100</t>
        </is>
      </c>
      <c r="C69" s="18" t="n">
        <v>174770.03</v>
      </c>
      <c r="D69" s="19">
        <f>C69/$C$128</f>
        <v/>
      </c>
      <c r="E69" s="38" t="inlineStr">
        <is>
          <t>4577469</t>
        </is>
      </c>
    </row>
    <row r="70">
      <c r="A70" s="28" t="n">
        <v>11541</v>
      </c>
      <c r="B70" s="2" t="inlineStr">
        <is>
          <t>CLICKS GROUP LTD COMMON STOCK ZAR 1</t>
        </is>
      </c>
      <c r="C70" s="18" t="n">
        <v>173768.83</v>
      </c>
      <c r="D70" s="19">
        <f>C70/$C$128</f>
        <v/>
      </c>
      <c r="E70" s="38" t="inlineStr">
        <is>
          <t>6105578</t>
        </is>
      </c>
    </row>
    <row r="71">
      <c r="A71" s="28" t="n">
        <v>4593</v>
      </c>
      <c r="B71" s="2" t="inlineStr">
        <is>
          <t>ALKHORAYEF WATER &amp; POWER TECHNOLOGIES CO COMMON STOCK SAR 10</t>
        </is>
      </c>
      <c r="C71" s="18" t="n">
        <v>172506.94</v>
      </c>
      <c r="D71" s="19">
        <f>C71/$C$128</f>
        <v/>
      </c>
      <c r="E71" s="38" t="inlineStr">
        <is>
          <t>BN33QN1</t>
        </is>
      </c>
    </row>
    <row r="72">
      <c r="A72" s="28" t="n">
        <v>5598</v>
      </c>
      <c r="B72" s="2" t="inlineStr">
        <is>
          <t>METLEN ENERGY &amp; METALS SA COMMON STOCK EUR 0.97</t>
        </is>
      </c>
      <c r="C72" s="18" t="n">
        <v>171854.72</v>
      </c>
      <c r="D72" s="19">
        <f>C72/$C$128</f>
        <v/>
      </c>
      <c r="E72" s="38" t="inlineStr">
        <is>
          <t>5898664</t>
        </is>
      </c>
    </row>
    <row r="73">
      <c r="A73" s="28" t="n">
        <v>8071</v>
      </c>
      <c r="B73" s="2" t="inlineStr">
        <is>
          <t>JUMBO SA COMMON STOCK EUR 0.88</t>
        </is>
      </c>
      <c r="C73" s="18" t="n">
        <v>168355.84</v>
      </c>
      <c r="D73" s="19">
        <f>C73/$C$128</f>
        <v/>
      </c>
      <c r="E73" s="38" t="inlineStr">
        <is>
          <t>7243530</t>
        </is>
      </c>
    </row>
    <row r="74">
      <c r="A74" s="28" t="n">
        <v>39150</v>
      </c>
      <c r="B74" s="2" t="inlineStr">
        <is>
          <t>ADES HOLDING CO COMMON STOCK SAR 1</t>
        </is>
      </c>
      <c r="C74" s="18" t="n">
        <v>165727.08</v>
      </c>
      <c r="D74" s="19">
        <f>C74/$C$128</f>
        <v/>
      </c>
      <c r="E74" s="38" t="inlineStr">
        <is>
          <t>BR56KM3</t>
        </is>
      </c>
    </row>
    <row r="75">
      <c r="A75" s="28" t="n">
        <v>14151</v>
      </c>
      <c r="B75" s="2" t="inlineStr">
        <is>
          <t>BIDVEST GROUP LTD/THE COMMON STOCK ZAR 5</t>
        </is>
      </c>
      <c r="C75" s="18" t="n">
        <v>165530.79</v>
      </c>
      <c r="D75" s="19">
        <f>C75/$C$128</f>
        <v/>
      </c>
      <c r="E75" s="38" t="inlineStr">
        <is>
          <t>6100089</t>
        </is>
      </c>
    </row>
    <row r="76">
      <c r="A76" s="28" t="n">
        <v>1892</v>
      </c>
      <c r="B76" s="2" t="inlineStr">
        <is>
          <t>KRUK SA COMMON STOCK PLN 1</t>
        </is>
      </c>
      <c r="C76" s="18" t="n">
        <v>164580.62</v>
      </c>
      <c r="D76" s="19">
        <f>C76/$C$128</f>
        <v/>
      </c>
      <c r="E76" s="38" t="inlineStr">
        <is>
          <t>B4PTLY0</t>
        </is>
      </c>
    </row>
    <row r="77">
      <c r="A77" s="28" t="n">
        <v>20423</v>
      </c>
      <c r="B77" s="2" t="inlineStr">
        <is>
          <t>SAUDI AWWAL BANK COMMON STOCK SAR 10</t>
        </is>
      </c>
      <c r="C77" s="18" t="n">
        <v>164006.87</v>
      </c>
      <c r="D77" s="19">
        <f>C77/$C$128</f>
        <v/>
      </c>
      <c r="E77" s="38" t="inlineStr">
        <is>
          <t>B12LSY7</t>
        </is>
      </c>
    </row>
    <row r="78">
      <c r="A78" s="28" t="n">
        <v>8057</v>
      </c>
      <c r="B78" s="2" t="inlineStr">
        <is>
          <t>RIYADH CABLES GROUP CO COMMON STOCK SAR 10</t>
        </is>
      </c>
      <c r="C78" s="18" t="n">
        <v>163342.6</v>
      </c>
      <c r="D78" s="19">
        <f>C78/$C$128</f>
        <v/>
      </c>
      <c r="E78" s="38" t="inlineStr">
        <is>
          <t>BNBPXW7</t>
        </is>
      </c>
    </row>
    <row r="79">
      <c r="A79" s="28" t="n">
        <v>111134</v>
      </c>
      <c r="B79" s="2" t="inlineStr">
        <is>
          <t>AKBANK TAS COMMON STOCK TRY 1</t>
        </is>
      </c>
      <c r="C79" s="18" t="n">
        <v>161754.35</v>
      </c>
      <c r="D79" s="19">
        <f>C79/$C$128</f>
        <v/>
      </c>
      <c r="E79" s="38" t="inlineStr">
        <is>
          <t>B03MN70</t>
        </is>
      </c>
    </row>
    <row r="80">
      <c r="A80" s="28" t="n">
        <v>12548</v>
      </c>
      <c r="B80" s="2" t="inlineStr">
        <is>
          <t>HELLENIC TELECOMMUNICATIONS ORGANIZATION SA COMMON STOCK EUR 2.83</t>
        </is>
      </c>
      <c r="C80" s="18" t="n">
        <v>160259.55</v>
      </c>
      <c r="D80" s="19">
        <f>C80/$C$128</f>
        <v/>
      </c>
      <c r="E80" s="38" t="inlineStr">
        <is>
          <t>5051605</t>
        </is>
      </c>
    </row>
    <row r="81">
      <c r="A81" s="28" t="n">
        <v>48227</v>
      </c>
      <c r="B81" s="2" t="inlineStr">
        <is>
          <t>PIRAEUS FINANCIAL HOLDINGS SA COMMON STOCK EUR 0.93</t>
        </is>
      </c>
      <c r="C81" s="18" t="n">
        <v>158251.53</v>
      </c>
      <c r="D81" s="19">
        <f>C81/$C$128</f>
        <v/>
      </c>
      <c r="E81" s="38" t="inlineStr">
        <is>
          <t>BNC0DB0</t>
        </is>
      </c>
    </row>
    <row r="82">
      <c r="A82" s="28" t="n">
        <v>1268490</v>
      </c>
      <c r="B82" s="2" t="inlineStr">
        <is>
          <t>NOVATEK PJSC COMMON STOCK RUB 0.1</t>
        </is>
      </c>
      <c r="C82" s="18" t="n">
        <v>145807.3</v>
      </c>
      <c r="D82" s="19">
        <f>C82/$C$128</f>
        <v/>
      </c>
      <c r="E82" s="38" t="inlineStr">
        <is>
          <t>2H6464S</t>
        </is>
      </c>
    </row>
    <row r="83">
      <c r="A83" s="28" t="n">
        <v>103572</v>
      </c>
      <c r="B83" s="2" t="inlineStr">
        <is>
          <t>NOVATEK PJSC COMMON STOCK RUB 0.1</t>
        </is>
      </c>
      <c r="C83" s="18" t="n">
        <v>12381.83</v>
      </c>
      <c r="D83" s="19">
        <f>C83/$C$128</f>
        <v/>
      </c>
      <c r="E83" s="38" t="inlineStr">
        <is>
          <t>0H5828S</t>
        </is>
      </c>
    </row>
    <row r="84">
      <c r="A84" s="28" t="n"/>
      <c r="B84" s="27" t="inlineStr">
        <is>
          <t>Subtotal</t>
        </is>
      </c>
      <c r="C84" s="29">
        <f>+C83+C82</f>
        <v/>
      </c>
      <c r="D84" s="31">
        <f>C84/$C$131</f>
        <v/>
      </c>
      <c r="E84" s="38" t="n"/>
    </row>
    <row r="85">
      <c r="A85" s="28" t="n">
        <v>234924</v>
      </c>
      <c r="B85" s="2" t="inlineStr">
        <is>
          <t>PARKIN CO PJSC COMMON STOCK AED 0.02</t>
        </is>
      </c>
      <c r="C85" s="18" t="n">
        <v>156357.57</v>
      </c>
      <c r="D85" s="19">
        <f>C85/$C$128</f>
        <v/>
      </c>
      <c r="E85" s="38" t="inlineStr">
        <is>
          <t>BRRGQF6</t>
        </is>
      </c>
    </row>
    <row r="86">
      <c r="A86" s="28" t="n">
        <v>11282</v>
      </c>
      <c r="B86" s="2" t="inlineStr">
        <is>
          <t>OPAP SA COMMON STOCK EUR 0.3</t>
        </is>
      </c>
      <c r="C86" s="18" t="n">
        <v>152739.78</v>
      </c>
      <c r="D86" s="19">
        <f>C86/$C$128</f>
        <v/>
      </c>
      <c r="E86" s="38" t="inlineStr">
        <is>
          <t>7107250</t>
        </is>
      </c>
    </row>
    <row r="87">
      <c r="A87" s="28" t="n">
        <v>61090</v>
      </c>
      <c r="B87" s="2" t="inlineStr">
        <is>
          <t>TURKCELL ILETISIM HIZMET AS</t>
        </is>
      </c>
      <c r="C87" s="18" t="n">
        <v>151688.41</v>
      </c>
      <c r="D87" s="19">
        <f>C87/$C$128</f>
        <v/>
      </c>
      <c r="E87" s="38" t="inlineStr">
        <is>
          <t>B03MYN3</t>
        </is>
      </c>
    </row>
    <row r="88">
      <c r="A88" s="28" t="n">
        <v>5652</v>
      </c>
      <c r="B88" s="2" t="inlineStr">
        <is>
          <t>KOMERCNI BANKA AS COMMON STOCK CZK 100</t>
        </is>
      </c>
      <c r="C88" s="18" t="n">
        <v>151458.48</v>
      </c>
      <c r="D88" s="19">
        <f>C88/$C$128</f>
        <v/>
      </c>
      <c r="E88" s="38" t="inlineStr">
        <is>
          <t>4519449</t>
        </is>
      </c>
    </row>
    <row r="89">
      <c r="A89" s="41" t="n">
        <v>105464</v>
      </c>
      <c r="B89" s="2" t="inlineStr">
        <is>
          <t>ALPHA SERVICES AND HOLDINGS SA COMMON STOCK EUR 0.29</t>
        </is>
      </c>
      <c r="C89" s="33" t="n">
        <v>151354.93</v>
      </c>
      <c r="D89" s="19">
        <f>C89/$C$128</f>
        <v/>
      </c>
      <c r="E89" s="38" t="inlineStr">
        <is>
          <t>BZ1MXR7</t>
        </is>
      </c>
    </row>
    <row r="90">
      <c r="A90" s="28" t="n">
        <v>105392</v>
      </c>
      <c r="B90" s="2" t="inlineStr">
        <is>
          <t>TURKIYE SIGORTA AS COMMON STOCK TRY 1</t>
        </is>
      </c>
      <c r="C90" s="18" t="n">
        <v>149184.09</v>
      </c>
      <c r="D90" s="19">
        <f>C90/$C$128</f>
        <v/>
      </c>
      <c r="E90" s="38" t="inlineStr">
        <is>
          <t>B03MTD8</t>
        </is>
      </c>
    </row>
    <row r="91">
      <c r="A91" s="28" t="n">
        <v>764</v>
      </c>
      <c r="B91" s="2" t="inlineStr">
        <is>
          <t>ELM CO COMMON STOCK SAR 10</t>
        </is>
      </c>
      <c r="C91" s="18" t="n">
        <v>144393.59</v>
      </c>
      <c r="D91" s="19">
        <f>C91/$C$128</f>
        <v/>
      </c>
      <c r="E91" s="38" t="inlineStr">
        <is>
          <t>BNYDSH8</t>
        </is>
      </c>
    </row>
    <row r="92">
      <c r="A92" s="28" t="n">
        <v>7428</v>
      </c>
      <c r="B92" s="2" t="inlineStr">
        <is>
          <t>BID CORP LTD COMMON STOCK ZAR</t>
        </is>
      </c>
      <c r="C92" s="18" t="n">
        <v>143837.57</v>
      </c>
      <c r="D92" s="19">
        <f>C92/$C$128</f>
        <v/>
      </c>
      <c r="E92" s="38" t="inlineStr">
        <is>
          <t>BZBFKT7</t>
        </is>
      </c>
    </row>
    <row r="93">
      <c r="A93" s="28" t="n">
        <v>234111</v>
      </c>
      <c r="B93" s="2" t="inlineStr">
        <is>
          <t>TECOM GROUP PJSC COMMON STOCK AED</t>
        </is>
      </c>
      <c r="C93" s="18" t="n">
        <v>135967.23</v>
      </c>
      <c r="D93" s="19">
        <f>C93/$C$128</f>
        <v/>
      </c>
      <c r="E93" s="38" t="inlineStr">
        <is>
          <t>BLDC8Q1</t>
        </is>
      </c>
    </row>
    <row r="94">
      <c r="A94" s="28" t="n">
        <v>60427</v>
      </c>
      <c r="B94" s="2" t="inlineStr">
        <is>
          <t>OOREDOO QPSC COMMON STOCK QAR 1</t>
        </is>
      </c>
      <c r="C94" s="18" t="n">
        <v>135023.52</v>
      </c>
      <c r="D94" s="19">
        <f>C94/$C$128</f>
        <v/>
      </c>
      <c r="E94" s="38" t="inlineStr">
        <is>
          <t>6158174</t>
        </is>
      </c>
    </row>
    <row r="95">
      <c r="A95" s="28" t="n">
        <v>187852</v>
      </c>
      <c r="B95" s="2" t="inlineStr">
        <is>
          <t>SALIK CO PJSC COMMON STOCK AED 0.01</t>
        </is>
      </c>
      <c r="C95" s="18" t="n">
        <v>133787.94</v>
      </c>
      <c r="D95" s="19">
        <f>C95/$C$128</f>
        <v/>
      </c>
      <c r="E95" s="38" t="inlineStr">
        <is>
          <t>BJN5952</t>
        </is>
      </c>
    </row>
    <row r="96">
      <c r="A96" s="28" t="n">
        <v>7119200</v>
      </c>
      <c r="B96" s="2" t="inlineStr">
        <is>
          <t>MMC NORILSK NICKEL PJSC COMMON STOCK RUB 1</t>
        </is>
      </c>
      <c r="C96" s="18" t="n">
        <v>133783.21</v>
      </c>
      <c r="D96" s="19">
        <f>C96/$C$128</f>
        <v/>
      </c>
      <c r="E96" s="38" t="inlineStr">
        <is>
          <t>0H5804S</t>
        </is>
      </c>
    </row>
    <row r="97">
      <c r="A97" s="28" t="n">
        <v>133931</v>
      </c>
      <c r="B97" s="2" t="inlineStr">
        <is>
          <t>ADNOC LOGISTICS &amp; SERVICES COMMON STOCK AED</t>
        </is>
      </c>
      <c r="C97" s="18" t="n">
        <v>133426.11</v>
      </c>
      <c r="D97" s="19">
        <f>C97/$C$128</f>
        <v/>
      </c>
      <c r="E97" s="38" t="inlineStr">
        <is>
          <t>BRBN103</t>
        </is>
      </c>
    </row>
    <row r="98">
      <c r="A98" s="28" t="n">
        <v>30065</v>
      </c>
      <c r="B98" s="2" t="inlineStr">
        <is>
          <t>MOTUS HOLDINGS LTD COMMON STOCK ZAR</t>
        </is>
      </c>
      <c r="C98" s="18" t="n">
        <v>132840.18</v>
      </c>
      <c r="D98" s="19">
        <f>C98/$C$128</f>
        <v/>
      </c>
      <c r="E98" s="38" t="inlineStr">
        <is>
          <t>BDRN3H0</t>
        </is>
      </c>
    </row>
    <row r="99">
      <c r="A99" s="28" t="n">
        <v>31957</v>
      </c>
      <c r="B99" s="2" t="inlineStr">
        <is>
          <t>ARABIAN CENTRES CO COMMON STOCK SAR 10</t>
        </is>
      </c>
      <c r="C99" s="18" t="n">
        <v>132493.03</v>
      </c>
      <c r="D99" s="19">
        <f>C99/$C$128</f>
        <v/>
      </c>
      <c r="E99" s="38" t="inlineStr">
        <is>
          <t>BKBF694</t>
        </is>
      </c>
    </row>
    <row r="100">
      <c r="A100" s="28" t="n">
        <v>4403</v>
      </c>
      <c r="B100" s="2" t="inlineStr">
        <is>
          <t>CO FOR COOPERATIVE INSURANCE/THE COMMON STOCK SAR 10</t>
        </is>
      </c>
      <c r="C100" s="18" t="n">
        <v>131382.98</v>
      </c>
      <c r="D100" s="19">
        <f>C100/$C$128</f>
        <v/>
      </c>
      <c r="E100" s="38" t="inlineStr">
        <is>
          <t>B128FN6</t>
        </is>
      </c>
    </row>
    <row r="101">
      <c r="A101" s="28" t="n">
        <v>30154</v>
      </c>
      <c r="B101" s="2" t="inlineStr">
        <is>
          <t>AVI LTD COMMON STOCK ZAR 5</t>
        </is>
      </c>
      <c r="C101" s="18" t="n">
        <v>126212.98</v>
      </c>
      <c r="D101" s="19">
        <f>C101/$C$128</f>
        <v/>
      </c>
      <c r="E101" s="38" t="inlineStr">
        <is>
          <t>6040958</t>
        </is>
      </c>
    </row>
    <row r="102">
      <c r="A102" s="28" t="n">
        <v>2526</v>
      </c>
      <c r="B102" s="2" t="inlineStr">
        <is>
          <t>BUPA ARABIA FOR COOPERATIVE INSURANCE CO COMMON STOCK SAR 10</t>
        </is>
      </c>
      <c r="C102" s="18" t="n">
        <v>120766.74</v>
      </c>
      <c r="D102" s="19">
        <f>C102/$C$128</f>
        <v/>
      </c>
      <c r="E102" s="38" t="inlineStr">
        <is>
          <t>B2RLCR0</t>
        </is>
      </c>
    </row>
    <row r="103">
      <c r="A103" s="28" t="n">
        <v>165133</v>
      </c>
      <c r="B103" s="2" t="inlineStr">
        <is>
          <t>YAPI VE KREDI BANKASI AS COMMON STOCK TRY 1</t>
        </is>
      </c>
      <c r="C103" s="18" t="n">
        <v>117029.54</v>
      </c>
      <c r="D103" s="19">
        <f>C103/$C$128</f>
        <v/>
      </c>
      <c r="E103" s="38" t="inlineStr">
        <is>
          <t>B03MZJ6</t>
        </is>
      </c>
    </row>
    <row r="104">
      <c r="A104" s="28" t="n">
        <v>2657</v>
      </c>
      <c r="B104" s="2" t="inlineStr">
        <is>
          <t>ERSTE GROUP BANK AG COMMON STOCK EUR 0</t>
        </is>
      </c>
      <c r="C104" s="18" t="n">
        <v>107847.12</v>
      </c>
      <c r="D104" s="19">
        <f>C104/$C$128</f>
        <v/>
      </c>
      <c r="E104" s="38" t="inlineStr">
        <is>
          <t>5289837</t>
        </is>
      </c>
    </row>
    <row r="105">
      <c r="A105" s="28" t="n">
        <v>4570</v>
      </c>
      <c r="B105" s="2" t="inlineStr">
        <is>
          <t>ALDREES PETROLEUM AND TRANSPORT SERVICES CO COMMON STOCK SAR 10</t>
        </is>
      </c>
      <c r="C105" s="18" t="n">
        <v>106968.73</v>
      </c>
      <c r="D105" s="19">
        <f>C105/$C$128</f>
        <v/>
      </c>
      <c r="E105" s="38" t="inlineStr">
        <is>
          <t>B128FF8</t>
        </is>
      </c>
    </row>
    <row r="106">
      <c r="A106" s="28" t="n">
        <v>2041744</v>
      </c>
      <c r="B106" s="2" t="inlineStr">
        <is>
          <t>ROSNEFT OIL CO PJSC COMMON STOCK RUB 0.01</t>
        </is>
      </c>
      <c r="C106" s="18" t="n">
        <v>59170.63</v>
      </c>
      <c r="D106" s="19">
        <f>C106/$C$128</f>
        <v/>
      </c>
      <c r="E106" s="38" t="inlineStr">
        <is>
          <t>0H5827S</t>
        </is>
      </c>
    </row>
    <row r="107">
      <c r="A107" s="28" t="n">
        <v>1677948</v>
      </c>
      <c r="B107" s="2" t="inlineStr">
        <is>
          <t>ROSNEFT OIL CO PJSC COMMON STOCK RUB</t>
        </is>
      </c>
      <c r="C107" s="18" t="n">
        <v>46812.28</v>
      </c>
      <c r="D107" s="19">
        <f>C107/$C$128</f>
        <v/>
      </c>
      <c r="E107" s="38" t="inlineStr">
        <is>
          <t>2H7674S</t>
        </is>
      </c>
    </row>
    <row r="108">
      <c r="A108" s="28" t="n"/>
      <c r="B108" s="27" t="inlineStr">
        <is>
          <t>Subtotal</t>
        </is>
      </c>
      <c r="C108" s="29">
        <f>+C107+C106</f>
        <v/>
      </c>
      <c r="D108" s="31">
        <f>C108/$C$131</f>
        <v/>
      </c>
      <c r="E108" s="38" t="n"/>
    </row>
    <row r="109">
      <c r="A109" s="28" t="n">
        <v>3385</v>
      </c>
      <c r="B109" s="2" t="inlineStr">
        <is>
          <t>ARABIAN DRILLING CO COMMON STOCK SAR 10</t>
        </is>
      </c>
      <c r="C109" s="18" t="n">
        <v>90891.75</v>
      </c>
      <c r="D109" s="19">
        <f>C109/$C$128</f>
        <v/>
      </c>
      <c r="E109" s="38" t="inlineStr">
        <is>
          <t>BPNZYP9</t>
        </is>
      </c>
    </row>
    <row r="110">
      <c r="A110" s="28" t="n">
        <v>5361</v>
      </c>
      <c r="B110" s="2" t="inlineStr">
        <is>
          <t>RAIFFEISEN BANK INTERNATIONAL AG COMMON STOCK EUR 0</t>
        </is>
      </c>
      <c r="C110" s="18" t="n">
        <v>81566.86</v>
      </c>
      <c r="D110" s="19">
        <f>C110/$C$128</f>
        <v/>
      </c>
      <c r="E110" s="38" t="inlineStr">
        <is>
          <t>B0704T9</t>
        </is>
      </c>
    </row>
    <row r="111">
      <c r="A111" s="28" t="n">
        <v>3657350</v>
      </c>
      <c r="B111" s="2" t="inlineStr">
        <is>
          <t>NOVOLIPETSK STEEL PJSC COMMON STOCK RUB</t>
        </is>
      </c>
      <c r="C111" s="18" t="n">
        <v>62115.27</v>
      </c>
      <c r="D111" s="19">
        <f>C111/$C$128</f>
        <v/>
      </c>
      <c r="E111" s="38" t="inlineStr">
        <is>
          <t>2H7675S</t>
        </is>
      </c>
    </row>
    <row r="112">
      <c r="A112" s="28" t="n">
        <v>180877</v>
      </c>
      <c r="B112" s="2" t="inlineStr">
        <is>
          <t>MAGNIT PJSC COMMON STOCK RUB 0.01</t>
        </is>
      </c>
      <c r="C112" s="18" t="n">
        <v>52759.32</v>
      </c>
      <c r="D112" s="19">
        <f>C112/$C$128</f>
        <v/>
      </c>
      <c r="E112" s="38" t="inlineStr">
        <is>
          <t>0H5813S</t>
        </is>
      </c>
    </row>
    <row r="113">
      <c r="A113" s="28" t="n">
        <v>1265335</v>
      </c>
      <c r="B113" s="2" t="inlineStr">
        <is>
          <t>GAZPROM NEFT PJSC COMMON STOCK RUB</t>
        </is>
      </c>
      <c r="C113" s="18" t="n">
        <v>47676.9</v>
      </c>
      <c r="D113" s="19">
        <f>C113/$C$128</f>
        <v/>
      </c>
      <c r="E113" s="38" t="inlineStr">
        <is>
          <t>0H5803S</t>
        </is>
      </c>
    </row>
    <row r="114">
      <c r="A114" s="28" t="n">
        <v>730066</v>
      </c>
      <c r="B114" s="2" t="inlineStr">
        <is>
          <t>TATNEFT PJSC COMMON STOCK RUB</t>
        </is>
      </c>
      <c r="C114" s="18" t="n">
        <v>25784.47</v>
      </c>
      <c r="D114" s="19">
        <f>C114/$C$128</f>
        <v/>
      </c>
      <c r="E114" s="38" t="inlineStr">
        <is>
          <t>0H5822S</t>
        </is>
      </c>
    </row>
    <row r="115">
      <c r="A115" s="28" t="n">
        <v>571359</v>
      </c>
      <c r="B115" s="2" t="inlineStr">
        <is>
          <t>TATNEFT PJSC PREFERENCE RUB 1</t>
        </is>
      </c>
      <c r="C115" s="18" t="n">
        <v>17870.15</v>
      </c>
      <c r="D115" s="19">
        <f>C115/$C$128</f>
        <v/>
      </c>
      <c r="E115" s="38" t="inlineStr">
        <is>
          <t>0H5816S</t>
        </is>
      </c>
    </row>
    <row r="116">
      <c r="A116" s="28" t="n"/>
      <c r="B116" s="27" t="inlineStr">
        <is>
          <t>Subtotal</t>
        </is>
      </c>
      <c r="C116" s="29">
        <f>+C115+C114</f>
        <v/>
      </c>
      <c r="D116" s="31">
        <f>C116/$C$131</f>
        <v/>
      </c>
      <c r="E116" s="38" t="n"/>
    </row>
    <row r="117">
      <c r="A117" s="28" t="n">
        <v>6156103</v>
      </c>
      <c r="B117" s="2" t="inlineStr">
        <is>
          <t>ROSTELECOM PJSC COMMON STOCK RUB</t>
        </is>
      </c>
      <c r="C117" s="18" t="n">
        <v>41126.19</v>
      </c>
      <c r="D117" s="19">
        <f>C117/$C$128</f>
        <v/>
      </c>
      <c r="E117" s="38" t="inlineStr">
        <is>
          <t>0H5802S</t>
        </is>
      </c>
    </row>
    <row r="118">
      <c r="A118" s="28" t="n">
        <v>4246654</v>
      </c>
      <c r="B118" s="2" t="inlineStr">
        <is>
          <t>VTB BANK PJSC COMMON STOCK RUB 0.01</t>
        </is>
      </c>
      <c r="C118" s="18" t="n">
        <v>40005.07</v>
      </c>
      <c r="D118" s="19">
        <f>C118/$C$128</f>
        <v/>
      </c>
      <c r="E118" s="38" t="inlineStr">
        <is>
          <t>0H5837S</t>
        </is>
      </c>
    </row>
    <row r="119">
      <c r="A119" s="28" t="n">
        <v>29773</v>
      </c>
      <c r="B119" s="2" t="inlineStr">
        <is>
          <t>POLYUS PJSC COMMON STOCK RUB</t>
        </is>
      </c>
      <c r="C119" s="18" t="n">
        <v>29999.51</v>
      </c>
      <c r="D119" s="19">
        <f>C119/$C$128</f>
        <v/>
      </c>
      <c r="E119" s="38" t="inlineStr">
        <is>
          <t>2H7182S</t>
        </is>
      </c>
    </row>
    <row r="120">
      <c r="A120" s="28" t="n">
        <v>169819</v>
      </c>
      <c r="B120" s="2" t="inlineStr">
        <is>
          <t>YANDEX NV COMMON STOCK USD 0.01</t>
        </is>
      </c>
      <c r="C120" s="18" t="n">
        <v>25040.85</v>
      </c>
      <c r="D120" s="19">
        <f>C120/$C$128</f>
        <v/>
      </c>
      <c r="E120" s="38" t="inlineStr">
        <is>
          <t>0H6379S</t>
        </is>
      </c>
    </row>
    <row r="121">
      <c r="A121" s="28" t="n">
        <v>432517</v>
      </c>
      <c r="B121" s="2" t="inlineStr">
        <is>
          <t>MD MEDICAL GROUP INVESTMENTS PLC GDR USD</t>
        </is>
      </c>
      <c r="C121" s="18" t="n">
        <v>19193.79</v>
      </c>
      <c r="D121" s="19">
        <f>C121/$C$128</f>
        <v/>
      </c>
      <c r="E121" s="38" t="inlineStr">
        <is>
          <t>0H6371S</t>
        </is>
      </c>
    </row>
    <row r="122">
      <c r="A122" s="28" t="n">
        <v>12313057</v>
      </c>
      <c r="B122" s="2" t="inlineStr">
        <is>
          <t>SISTEMA PJSFC COMMON STOCK RUB 0.09</t>
        </is>
      </c>
      <c r="C122" s="18" t="n">
        <v>14426.44</v>
      </c>
      <c r="D122" s="19">
        <f>C122/$C$128</f>
        <v/>
      </c>
      <c r="E122" s="38" t="inlineStr">
        <is>
          <t>0H5808S</t>
        </is>
      </c>
    </row>
    <row r="123">
      <c r="A123" s="28" t="n">
        <v>577525</v>
      </c>
      <c r="B123" s="2" t="inlineStr">
        <is>
          <t>FIX PRICE GROUP LTD GDR</t>
        </is>
      </c>
      <c r="C123" s="18" t="n">
        <v>4226.51</v>
      </c>
      <c r="D123" s="19">
        <f>C123/$C$128</f>
        <v/>
      </c>
      <c r="E123" s="38" t="inlineStr">
        <is>
          <t>0H6372S</t>
        </is>
      </c>
    </row>
    <row r="124">
      <c r="A124" s="28" t="n">
        <v>75226</v>
      </c>
      <c r="B124" s="2" t="inlineStr">
        <is>
          <t>TCS GROUP HOLDING PLC GDR</t>
        </is>
      </c>
      <c r="C124" s="18" t="n">
        <v>1870.04</v>
      </c>
      <c r="D124" s="19">
        <f>C124/$C$128</f>
        <v/>
      </c>
      <c r="E124" s="38" t="inlineStr">
        <is>
          <t>0H6380S</t>
        </is>
      </c>
    </row>
    <row r="125">
      <c r="A125" s="28" t="n">
        <v>275182</v>
      </c>
      <c r="B125" s="2" t="inlineStr">
        <is>
          <t>X 5 RETAIL GROUP NV-REGS GDR</t>
        </is>
      </c>
      <c r="C125" s="18" t="n">
        <v>1138.48</v>
      </c>
      <c r="D125" s="19">
        <f>C125/$C$128</f>
        <v/>
      </c>
      <c r="E125" s="38" t="inlineStr">
        <is>
          <t>0H6365S</t>
        </is>
      </c>
    </row>
    <row r="126">
      <c r="A126" s="28" t="n">
        <v>552780</v>
      </c>
      <c r="B126" s="2" t="inlineStr">
        <is>
          <t>SEVERSTAL PAO GDR USD</t>
        </is>
      </c>
      <c r="C126" s="18" t="n">
        <v>258.65</v>
      </c>
      <c r="D126" s="19">
        <f>C126/$C$128</f>
        <v/>
      </c>
      <c r="E126" s="38" t="inlineStr">
        <is>
          <t>0H6368S</t>
        </is>
      </c>
    </row>
    <row r="127">
      <c r="A127" s="28" t="n"/>
      <c r="B127" s="2" t="n"/>
      <c r="C127" s="18" t="n"/>
      <c r="D127" s="19" t="n"/>
      <c r="E127" s="38" t="n"/>
    </row>
    <row r="128">
      <c r="A128" s="28" t="n"/>
      <c r="B128" s="21" t="inlineStr">
        <is>
          <t>Total portfolio</t>
        </is>
      </c>
      <c r="C128" s="39">
        <f>SUM(C12:C30)+SUM(C32:C50)+SUM(C52:C55)+SUM(C57:C83)+SUM(C85:C107)+SUM(C109:C115)+SUM(C117:C126)</f>
        <v/>
      </c>
      <c r="D128" s="19">
        <f>C128/$C$131</f>
        <v/>
      </c>
      <c r="E128" s="20" t="n"/>
    </row>
    <row r="129">
      <c r="A129" s="28" t="n"/>
      <c r="B129" s="21" t="inlineStr">
        <is>
          <t>Net Current Assets</t>
        </is>
      </c>
      <c r="C129" s="39" t="n">
        <v>-7638</v>
      </c>
      <c r="D129" s="19">
        <f>C129/$C$131</f>
        <v/>
      </c>
      <c r="E129" s="20" t="n"/>
    </row>
    <row r="130">
      <c r="A130" s="28" t="n"/>
      <c r="B130" s="21" t="n"/>
      <c r="C130" s="39" t="n"/>
      <c r="D130" s="32" t="n"/>
      <c r="E130" s="20" t="n"/>
    </row>
    <row r="131">
      <c r="A131" s="17" t="n"/>
      <c r="B131" s="21" t="inlineStr">
        <is>
          <t>Total Assets</t>
        </is>
      </c>
      <c r="C131" s="22">
        <f>C128+C129</f>
        <v/>
      </c>
      <c r="D131" s="19">
        <f>C131/$C$131</f>
        <v/>
      </c>
      <c r="E131" s="3" t="n"/>
    </row>
    <row r="132" ht="12.75" customHeight="1" s="42">
      <c r="A13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3"/>
    <row r="134"/>
    <row r="135"/>
  </sheetData>
  <mergeCells count="2">
    <mergeCell ref="A132:E135"/>
    <mergeCell ref="A3:E6"/>
  </mergeCells>
  <conditionalFormatting sqref="B12:B14">
    <cfRule type="containsText" priority="2" operator="containsText" dxfId="0" text="LIQUIDITY">
      <formula>NOT(ISERROR(SEARCH("LIQUIDITY",B12)))</formula>
    </cfRule>
  </conditionalFormatting>
  <conditionalFormatting sqref="B16:B127">
    <cfRule type="containsText" priority="1" operator="containsText" dxfId="0" text="LIQUIDITY">
      <formula>NOT(ISERROR(SEARCH("LIQUIDITY",B16)))</formula>
    </cfRule>
  </conditionalFormatting>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134"/>
  <sheetViews>
    <sheetView topLeftCell="A108" zoomScaleNormal="100" workbookViewId="0">
      <selection activeCell="B128" sqref="B128"/>
    </sheetView>
  </sheetViews>
  <sheetFormatPr baseColWidth="8" defaultRowHeight="12.75"/>
  <cols>
    <col width="16.140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ht="12.75" customHeight="1" s="42">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June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81271</v>
      </c>
      <c r="B12" s="2" t="inlineStr">
        <is>
          <t>THE SAUDI NATIONAL BANK</t>
        </is>
      </c>
      <c r="C12" s="18" t="n">
        <v>628932.02</v>
      </c>
      <c r="D12" s="19">
        <f>C12/$C$127</f>
        <v/>
      </c>
      <c r="E12" s="20" t="inlineStr">
        <is>
          <t>BSHYYN1</t>
        </is>
      </c>
    </row>
    <row r="13">
      <c r="A13" s="41" t="n">
        <v>32585</v>
      </c>
      <c r="B13" s="2" t="inlineStr">
        <is>
          <t>AL RAJHI BANK COMMON STOCK SAR 10</t>
        </is>
      </c>
      <c r="C13" s="18" t="n">
        <v>559299.16</v>
      </c>
      <c r="D13" s="19">
        <f>C13/$C$127</f>
        <v/>
      </c>
      <c r="E13" s="20" t="inlineStr">
        <is>
          <t>B12LZH9</t>
        </is>
      </c>
    </row>
    <row r="14">
      <c r="A14" s="41" t="n">
        <v>164763</v>
      </c>
      <c r="B14" s="2" t="inlineStr">
        <is>
          <t>FIRSTRAND LTD COMMON STOCK ZAR 1</t>
        </is>
      </c>
      <c r="C14" s="18" t="n">
        <v>548770.63</v>
      </c>
      <c r="D14" s="19">
        <f>C14/$C$127</f>
        <v/>
      </c>
      <c r="E14" s="20" t="inlineStr">
        <is>
          <t>6606996</t>
        </is>
      </c>
    </row>
    <row r="15">
      <c r="A15" s="41" t="n">
        <v>514330.73</v>
      </c>
      <c r="B15" s="45" t="inlineStr">
        <is>
          <t>JPM GBP LIQUIDITY LVNAV X (DIST.)</t>
        </is>
      </c>
      <c r="C15" s="33" t="n">
        <v>514330.73</v>
      </c>
      <c r="D15" s="19">
        <f>C15/$C$127</f>
        <v/>
      </c>
      <c r="E15" s="20" t="inlineStr">
        <is>
          <t>5819115</t>
        </is>
      </c>
    </row>
    <row r="16">
      <c r="A16" s="41" t="n">
        <v>47354</v>
      </c>
      <c r="B16" s="2" t="inlineStr">
        <is>
          <t>STANDARD BANK GROUP LTD COMMON STOCK ZAR 10</t>
        </is>
      </c>
      <c r="C16" s="18" t="n">
        <v>432459.13</v>
      </c>
      <c r="D16" s="19">
        <f>C16/$C$127</f>
        <v/>
      </c>
      <c r="E16" s="20" t="inlineStr">
        <is>
          <t>B030GJ7</t>
        </is>
      </c>
    </row>
    <row r="17">
      <c r="A17" s="41" t="n">
        <v>73566</v>
      </c>
      <c r="B17" s="2" t="inlineStr">
        <is>
          <t>SAUDI ARABIAN OIL CO COMMON STOCK SAR</t>
        </is>
      </c>
      <c r="C17" s="18" t="n">
        <v>429693.66</v>
      </c>
      <c r="D17" s="19">
        <f>C17/$C$127</f>
        <v/>
      </c>
      <c r="E17" s="20" t="inlineStr">
        <is>
          <t>BJTM270</t>
        </is>
      </c>
    </row>
    <row r="18">
      <c r="A18" s="41" t="n">
        <v>117376</v>
      </c>
      <c r="B18" s="2" t="inlineStr">
        <is>
          <t>QATAR NATIONAL BANK QPSC COMMON STOCK QAR 1</t>
        </is>
      </c>
      <c r="C18" s="33" t="n">
        <v>372586.75</v>
      </c>
      <c r="D18" s="19">
        <f>C18/$C$127</f>
        <v/>
      </c>
      <c r="E18" s="20" t="inlineStr">
        <is>
          <t>6148197</t>
        </is>
      </c>
    </row>
    <row r="19">
      <c r="A19" s="41" t="n">
        <v>31177</v>
      </c>
      <c r="B19" s="2" t="inlineStr">
        <is>
          <t>GOLD FIELDS LTD COMMON STOCK ZAR 50</t>
        </is>
      </c>
      <c r="C19" s="33" t="n">
        <v>369289.12</v>
      </c>
      <c r="D19" s="19">
        <f>C19/$C$127</f>
        <v/>
      </c>
      <c r="E19" s="20" t="inlineStr">
        <is>
          <t>6280215</t>
        </is>
      </c>
    </row>
    <row r="20">
      <c r="A20" s="41" t="n">
        <v>29624</v>
      </c>
      <c r="B20" s="2" t="inlineStr">
        <is>
          <t>POWSZECHNA KASA OSZCZEDNOSCI BANK POLSKI SA COMMON STOCK PLN 1</t>
        </is>
      </c>
      <c r="C20" s="18" t="n">
        <v>366558.54</v>
      </c>
      <c r="D20" s="19">
        <f>C20/$C$127</f>
        <v/>
      </c>
      <c r="E20" s="20" t="inlineStr">
        <is>
          <t>B03NGS5</t>
        </is>
      </c>
    </row>
    <row r="21">
      <c r="A21" s="41" t="n">
        <v>200673</v>
      </c>
      <c r="B21" s="2" t="inlineStr">
        <is>
          <t>EMAAR PROPERTIES PJSC COMMON STOCK AED 1</t>
        </is>
      </c>
      <c r="C21" s="18" t="n">
        <v>351812.27</v>
      </c>
      <c r="D21" s="19">
        <f>C21/$C$127</f>
        <v/>
      </c>
      <c r="E21" s="20" t="inlineStr">
        <is>
          <t>B01RM25</t>
        </is>
      </c>
    </row>
    <row r="22">
      <c r="A22" s="41" t="n">
        <v>94036</v>
      </c>
      <c r="B22" s="2" t="inlineStr">
        <is>
          <t>EMIRATES NBD BANK PJSC COMMON STOCK AED 1</t>
        </is>
      </c>
      <c r="C22" s="18" t="n">
        <v>334176.36</v>
      </c>
      <c r="D22" s="19">
        <f>C22/$C$127</f>
        <v/>
      </c>
      <c r="E22" s="20" t="inlineStr">
        <is>
          <t>B28PFX8</t>
        </is>
      </c>
    </row>
    <row r="23">
      <c r="A23" s="41" t="n">
        <v>95185</v>
      </c>
      <c r="B23" s="2" t="inlineStr">
        <is>
          <t>SANLAM LTD COMMON STOCK ZAR 1</t>
        </is>
      </c>
      <c r="C23" s="18" t="n">
        <v>333606.75</v>
      </c>
      <c r="D23" s="19">
        <f>C23/$C$127</f>
        <v/>
      </c>
      <c r="E23" s="20" t="inlineStr">
        <is>
          <t>B0L6750</t>
        </is>
      </c>
    </row>
    <row r="24">
      <c r="A24" s="41" t="n">
        <v>2142</v>
      </c>
      <c r="B24" s="2" t="inlineStr">
        <is>
          <t>NASPERS LTD COMMON STOCK ZAR 2</t>
        </is>
      </c>
      <c r="C24" s="18" t="n">
        <v>330995.51</v>
      </c>
      <c r="D24" s="19">
        <f>C24/$C$127</f>
        <v/>
      </c>
      <c r="E24" s="20" t="inlineStr">
        <is>
          <t>BN0VX82</t>
        </is>
      </c>
    </row>
    <row r="25">
      <c r="A25" s="41" t="n">
        <v>49901</v>
      </c>
      <c r="B25" s="2" t="inlineStr">
        <is>
          <t>ALINMA BANK COMMON STOCK SAR 10</t>
        </is>
      </c>
      <c r="C25" s="18" t="n">
        <v>327243.99</v>
      </c>
      <c r="D25" s="19">
        <f>C25/$C$127</f>
        <v/>
      </c>
      <c r="E25" s="20" t="inlineStr">
        <is>
          <t>B39NWT3</t>
        </is>
      </c>
    </row>
    <row r="26">
      <c r="A26" s="41" t="n">
        <v>22007</v>
      </c>
      <c r="B26" s="2" t="inlineStr">
        <is>
          <t>HALYK SAVINGS BANK OF KAZAKHSTAN JSC GDR USD</t>
        </is>
      </c>
      <c r="C26" s="18" t="n">
        <v>312669.66</v>
      </c>
      <c r="D26" s="19">
        <f>C26/$C$127</f>
        <v/>
      </c>
      <c r="E26" s="20" t="inlineStr">
        <is>
          <t>B1KDG41</t>
        </is>
      </c>
    </row>
    <row r="27">
      <c r="A27" s="41" t="n">
        <v>362649</v>
      </c>
      <c r="B27" s="2" t="inlineStr">
        <is>
          <t>LUKOIL PJSC COMMON STOCK RUB 0.025 RUB</t>
        </is>
      </c>
      <c r="C27" s="18" t="n">
        <v>171414.76</v>
      </c>
      <c r="D27" s="19">
        <f>C27/$C$127</f>
        <v/>
      </c>
      <c r="E27" s="20" t="inlineStr">
        <is>
          <t>2H6442S</t>
        </is>
      </c>
    </row>
    <row r="28">
      <c r="A28" s="41" t="n">
        <v>262047</v>
      </c>
      <c r="B28" s="2" t="inlineStr">
        <is>
          <t>LUKOIL PJSC COMMON STOCK RUB</t>
        </is>
      </c>
      <c r="C28" s="18" t="n">
        <v>129270.12</v>
      </c>
      <c r="D28" s="19">
        <f>C28/$C$127</f>
        <v/>
      </c>
      <c r="E28" s="20" t="inlineStr">
        <is>
          <t>0H5797S</t>
        </is>
      </c>
    </row>
    <row r="29">
      <c r="A29" s="28" t="n"/>
      <c r="B29" s="27" t="inlineStr">
        <is>
          <t>Subtotal</t>
        </is>
      </c>
      <c r="C29" s="29">
        <f>+C28+C27</f>
        <v/>
      </c>
      <c r="D29" s="31">
        <f>C29/$C$130</f>
        <v/>
      </c>
      <c r="E29" s="20" t="n"/>
    </row>
    <row r="30">
      <c r="A30" s="28" t="n">
        <v>7639</v>
      </c>
      <c r="B30" s="2" t="inlineStr">
        <is>
          <t>OTP BANK NYRT COMMON STOCK HUF 100</t>
        </is>
      </c>
      <c r="C30" s="18" t="n">
        <v>300195.13</v>
      </c>
      <c r="D30" s="19">
        <f>C30/$C$127</f>
        <v/>
      </c>
      <c r="E30" s="20" t="inlineStr">
        <is>
          <t>7320154</t>
        </is>
      </c>
    </row>
    <row r="31">
      <c r="A31" s="28" t="n">
        <v>9088</v>
      </c>
      <c r="B31" s="2" t="inlineStr">
        <is>
          <t>BANK POLSKA KASA OPIEKI SA COMMON STOCK PLN 1</t>
        </is>
      </c>
      <c r="C31" s="18" t="n">
        <v>300087.14</v>
      </c>
      <c r="D31" s="19">
        <f>C31/$C$127</f>
        <v/>
      </c>
      <c r="E31" s="20" t="inlineStr">
        <is>
          <t>5473113</t>
        </is>
      </c>
    </row>
    <row r="32">
      <c r="A32" s="28" t="n">
        <v>14028</v>
      </c>
      <c r="B32" s="2" t="inlineStr">
        <is>
          <t>NOVA LJUBLJANSKA BANKA DD GDR EUR</t>
        </is>
      </c>
      <c r="C32" s="18" t="n">
        <v>297336.23</v>
      </c>
      <c r="D32" s="19">
        <f>C32/$C$127</f>
        <v/>
      </c>
      <c r="E32" s="20" t="inlineStr">
        <is>
          <t>BGRPD22</t>
        </is>
      </c>
    </row>
    <row r="33">
      <c r="A33" s="28" t="n">
        <v>70158</v>
      </c>
      <c r="B33" s="2" t="inlineStr">
        <is>
          <t>TUPRAS-TURKIYE PETROL RAFINE</t>
        </is>
      </c>
      <c r="C33" s="18" t="n">
        <v>280180.85</v>
      </c>
      <c r="D33" s="19">
        <f>C33/$C$127</f>
        <v/>
      </c>
      <c r="E33" s="20" t="inlineStr">
        <is>
          <t>B03MYT9</t>
        </is>
      </c>
    </row>
    <row r="34">
      <c r="A34" s="28" t="n">
        <v>8205</v>
      </c>
      <c r="B34" s="2" t="inlineStr">
        <is>
          <t>NAC KAZATOMPROM JSC GDR USD</t>
        </is>
      </c>
      <c r="C34" s="18" t="n">
        <v>259306.82</v>
      </c>
      <c r="D34" s="19">
        <f>C34/$C$127</f>
        <v/>
      </c>
      <c r="E34" s="20" t="inlineStr">
        <is>
          <t>BGXQL36</t>
        </is>
      </c>
    </row>
    <row r="35">
      <c r="A35" s="28" t="n">
        <v>148768</v>
      </c>
      <c r="B35" s="2" t="inlineStr">
        <is>
          <t>ABU DHABI COMMERCIAL BANK PJSC COMMON STOCK AED 1</t>
        </is>
      </c>
      <c r="C35" s="18" t="n">
        <v>256649.06</v>
      </c>
      <c r="D35" s="19">
        <f>C35/$C$127</f>
        <v/>
      </c>
      <c r="E35" s="20" t="inlineStr">
        <is>
          <t>6545464</t>
        </is>
      </c>
    </row>
    <row r="36">
      <c r="A36" s="28" t="n">
        <v>2401</v>
      </c>
      <c r="B36" s="2" t="inlineStr">
        <is>
          <t>JSC KASPI.KZ GDR-REG S</t>
        </is>
      </c>
      <c r="C36" s="18" t="n">
        <v>250166.69</v>
      </c>
      <c r="D36" s="19">
        <f>C36/$C$127</f>
        <v/>
      </c>
      <c r="E36" s="20" t="inlineStr">
        <is>
          <t>BJY21K1</t>
        </is>
      </c>
    </row>
    <row r="37">
      <c r="A37" s="28" t="n">
        <v>19991</v>
      </c>
      <c r="B37" s="2" t="inlineStr">
        <is>
          <t>SHOPRITE HOLDINGS LTD COMMON STOCK ZAR 113.4</t>
        </is>
      </c>
      <c r="C37" s="18" t="n">
        <v>245989.47</v>
      </c>
      <c r="D37" s="19">
        <f>C37/$C$127</f>
        <v/>
      </c>
      <c r="E37" s="20" t="inlineStr">
        <is>
          <t>6801575</t>
        </is>
      </c>
    </row>
    <row r="38">
      <c r="A38" s="28" t="n">
        <v>44928</v>
      </c>
      <c r="B38" s="2" t="inlineStr">
        <is>
          <t>RIYAD BANK COMMON STOCK SAR 10</t>
        </is>
      </c>
      <c r="C38" s="18" t="n">
        <v>245368.55</v>
      </c>
      <c r="D38" s="19">
        <f>C38/$C$127</f>
        <v/>
      </c>
      <c r="E38" s="20" t="inlineStr">
        <is>
          <t>B12LZW4</t>
        </is>
      </c>
    </row>
    <row r="39">
      <c r="A39" s="28" t="n">
        <v>98209</v>
      </c>
      <c r="B39" s="2" t="inlineStr">
        <is>
          <t>ABU DHABI ISLAMIC BANK PJSC COMMON STOCK AED 1</t>
        </is>
      </c>
      <c r="C39" s="18" t="n">
        <v>244515.71</v>
      </c>
      <c r="D39" s="19">
        <f>C39/$C$127</f>
        <v/>
      </c>
      <c r="E39" s="20" t="inlineStr">
        <is>
          <t>6001728</t>
        </is>
      </c>
    </row>
    <row r="40">
      <c r="A40" s="28" t="n">
        <v>35367</v>
      </c>
      <c r="B40" s="2" t="inlineStr">
        <is>
          <t>ABSA GROUP LTD</t>
        </is>
      </c>
      <c r="C40" s="18" t="n">
        <v>242639.5</v>
      </c>
      <c r="D40" s="19">
        <f>C40/$C$127</f>
        <v/>
      </c>
      <c r="E40" s="20" t="inlineStr">
        <is>
          <t>BFX05H3</t>
        </is>
      </c>
    </row>
    <row r="41">
      <c r="A41" s="28" t="n">
        <v>71</v>
      </c>
      <c r="B41" s="2" t="inlineStr">
        <is>
          <t>LPP SA COMMON STOCK PLN 2</t>
        </is>
      </c>
      <c r="C41" s="18" t="n">
        <v>238215.4</v>
      </c>
      <c r="D41" s="19">
        <f>C41/$C$127</f>
        <v/>
      </c>
      <c r="E41" s="20" t="inlineStr">
        <is>
          <t>7127979</t>
        </is>
      </c>
    </row>
    <row r="42">
      <c r="A42" s="28" t="n">
        <v>172191</v>
      </c>
      <c r="B42" s="2" t="inlineStr">
        <is>
          <t>ALDAR PROPERTIES PJSC COMMON STOCK AED 1</t>
        </is>
      </c>
      <c r="C42" s="18" t="n">
        <v>230673.91</v>
      </c>
      <c r="D42" s="19">
        <f>C42/$C$127</f>
        <v/>
      </c>
      <c r="E42" s="20" t="inlineStr">
        <is>
          <t>B0LX3Y2</t>
        </is>
      </c>
    </row>
    <row r="43">
      <c r="A43" s="28" t="n">
        <v>11178</v>
      </c>
      <c r="B43" s="2" t="inlineStr">
        <is>
          <t>RICHTER GEDEON NYRT COMMON STOCK HUF 100</t>
        </is>
      </c>
      <c r="C43" s="18" t="n">
        <v>229173.75</v>
      </c>
      <c r="D43" s="19">
        <f>C43/$C$127</f>
        <v/>
      </c>
      <c r="E43" s="20" t="inlineStr">
        <is>
          <t>BC9ZH86</t>
        </is>
      </c>
    </row>
    <row r="44">
      <c r="A44" s="28" t="n">
        <v>31227</v>
      </c>
      <c r="B44" s="2" t="inlineStr">
        <is>
          <t>HARMONY GOLD MINING CO LTD COMMON STOCK ZAR 50</t>
        </is>
      </c>
      <c r="C44" s="18" t="n">
        <v>227332.08</v>
      </c>
      <c r="D44" s="19">
        <f>C44/$C$127</f>
        <v/>
      </c>
      <c r="E44" s="20" t="inlineStr">
        <is>
          <t>6410562</t>
        </is>
      </c>
    </row>
    <row r="45">
      <c r="A45" s="28" t="n">
        <v>8860909</v>
      </c>
      <c r="B45" s="2" t="inlineStr">
        <is>
          <t>GAZPROM PJSC COMMON STOCK RUB</t>
        </is>
      </c>
      <c r="C45" s="18" t="n">
        <v>201869.75</v>
      </c>
      <c r="D45" s="19">
        <f>C45/$C$127</f>
        <v/>
      </c>
      <c r="E45" s="20" t="inlineStr">
        <is>
          <t>0H5796S</t>
        </is>
      </c>
    </row>
    <row r="46">
      <c r="A46" s="28" t="n">
        <v>5365084</v>
      </c>
      <c r="B46" s="2" t="inlineStr">
        <is>
          <t>GAZPROM PJSC ADR</t>
        </is>
      </c>
      <c r="C46" s="18" t="n">
        <v>24675.74</v>
      </c>
      <c r="D46" s="19">
        <f>C46/$C$127</f>
        <v/>
      </c>
      <c r="E46" s="20" t="inlineStr">
        <is>
          <t>0H6364S</t>
        </is>
      </c>
    </row>
    <row r="47">
      <c r="A47" s="28" t="n"/>
      <c r="B47" s="27" t="inlineStr">
        <is>
          <t>Subtotal</t>
        </is>
      </c>
      <c r="C47" s="29">
        <f>+C46+C45</f>
        <v/>
      </c>
      <c r="D47" s="31">
        <f>C47/$C$130</f>
        <v/>
      </c>
      <c r="E47" s="38" t="n"/>
    </row>
    <row r="48">
      <c r="A48" s="41" t="n">
        <v>250715</v>
      </c>
      <c r="B48" s="2" t="inlineStr">
        <is>
          <t>ADNOC DRILLING CO PJSC COMMON STOCK AED</t>
        </is>
      </c>
      <c r="C48" s="18" t="n">
        <v>221391.94</v>
      </c>
      <c r="D48" s="19">
        <f>C48/$C$127</f>
        <v/>
      </c>
      <c r="E48" s="38" t="inlineStr">
        <is>
          <t>BN12D39</t>
        </is>
      </c>
    </row>
    <row r="49">
      <c r="A49" s="41" t="n">
        <v>355644</v>
      </c>
      <c r="B49" s="2" t="inlineStr">
        <is>
          <t>ADNOC GAS PLC</t>
        </is>
      </c>
      <c r="C49" s="18" t="n">
        <v>221366.02</v>
      </c>
      <c r="D49" s="19">
        <f>C49/$C$127</f>
        <v/>
      </c>
      <c r="E49" s="38" t="inlineStr">
        <is>
          <t>BPJLW35</t>
        </is>
      </c>
    </row>
    <row r="50">
      <c r="A50" s="41" t="n">
        <v>127190</v>
      </c>
      <c r="B50" s="2" t="inlineStr">
        <is>
          <t>EUROBANK ERGASIAS SERVICES AND HOLDINGS SA COMMON STOCK EUR 0.22</t>
        </is>
      </c>
      <c r="C50" s="18" t="n">
        <v>217829.35</v>
      </c>
      <c r="D50" s="19">
        <f>C50/$C$127</f>
        <v/>
      </c>
      <c r="E50" s="38" t="inlineStr">
        <is>
          <t>BYZ43T4</t>
        </is>
      </c>
    </row>
    <row r="51">
      <c r="A51" s="41" t="n">
        <v>4537</v>
      </c>
      <c r="B51" s="2" t="inlineStr">
        <is>
          <t>LEEJAM SPORTS CO JSC COMMON STOCK SAR 10</t>
        </is>
      </c>
      <c r="C51" s="18" t="n">
        <v>216785.75</v>
      </c>
      <c r="D51" s="19">
        <f>C51/$C$127</f>
        <v/>
      </c>
      <c r="E51" s="38" t="inlineStr">
        <is>
          <t>BF12ZV5</t>
        </is>
      </c>
    </row>
    <row r="52">
      <c r="A52" s="41" t="n">
        <v>14455036</v>
      </c>
      <c r="B52" s="2" t="inlineStr">
        <is>
          <t>SBERBANK OF RUSSIA PJSC PREFERENCE RUB 3</t>
        </is>
      </c>
      <c r="C52" s="18" t="n">
        <v>181664.38</v>
      </c>
      <c r="D52" s="19">
        <f>C52/$C$127</f>
        <v/>
      </c>
      <c r="E52" s="38" t="inlineStr">
        <is>
          <t>0H5856S</t>
        </is>
      </c>
    </row>
    <row r="53">
      <c r="A53" s="41" t="n">
        <v>2355925</v>
      </c>
      <c r="B53" s="2" t="inlineStr">
        <is>
          <t>SBERBANK OF RUSSIA PJSC</t>
        </is>
      </c>
      <c r="C53" s="18" t="n">
        <v>29394.22</v>
      </c>
      <c r="D53" s="19">
        <f>C53/$C$127</f>
        <v/>
      </c>
      <c r="E53" s="38" t="inlineStr">
        <is>
          <t>0H5855S</t>
        </is>
      </c>
    </row>
    <row r="54">
      <c r="A54" s="41" t="n"/>
      <c r="B54" s="27" t="inlineStr">
        <is>
          <t>Subtotal</t>
        </is>
      </c>
      <c r="C54" s="29">
        <f>+C53+C52</f>
        <v/>
      </c>
      <c r="D54" s="31">
        <f>C54/$C$130</f>
        <v/>
      </c>
      <c r="E54" s="38" t="n"/>
    </row>
    <row r="55">
      <c r="A55" s="28" t="n">
        <v>36992</v>
      </c>
      <c r="B55" s="2" t="inlineStr">
        <is>
          <t>BANCA TRANSILVANIA SA COMMON STOCK RON 1</t>
        </is>
      </c>
      <c r="C55" s="18" t="n">
        <v>201328.39</v>
      </c>
      <c r="D55" s="19">
        <f>C55/$C$127</f>
        <v/>
      </c>
      <c r="E55" s="38" t="inlineStr">
        <is>
          <t>5393307</t>
        </is>
      </c>
    </row>
    <row r="56">
      <c r="A56" s="28" t="n">
        <v>4992</v>
      </c>
      <c r="B56" s="2" t="inlineStr">
        <is>
          <t>BANK OF GEORGIA GROUP PLC COMMON STOCK GBP 1</t>
        </is>
      </c>
      <c r="C56" s="18" t="n">
        <v>201177.6</v>
      </c>
      <c r="D56" s="19">
        <f>C56/$C$127</f>
        <v/>
      </c>
      <c r="E56" s="38" t="inlineStr">
        <is>
          <t>BF4HYT8</t>
        </is>
      </c>
    </row>
    <row r="57">
      <c r="A57" s="28" t="n">
        <v>15181</v>
      </c>
      <c r="B57" s="2" t="inlineStr">
        <is>
          <t>BIM BIRLESIK MAGAZALAR AS COMMON STOCK TRY 1</t>
        </is>
      </c>
      <c r="C57" s="18" t="n">
        <v>199645.78</v>
      </c>
      <c r="D57" s="19">
        <f>C57/$C$127</f>
        <v/>
      </c>
      <c r="E57" s="38" t="inlineStr">
        <is>
          <t>B0D0006</t>
        </is>
      </c>
    </row>
    <row r="58">
      <c r="A58" s="28" t="n">
        <v>105392</v>
      </c>
      <c r="B58" s="2" t="inlineStr">
        <is>
          <t>TURKIYE SIGORTA AS COMMON STOCK TRY 1</t>
        </is>
      </c>
      <c r="C58" s="18" t="n">
        <v>198873.83</v>
      </c>
      <c r="D58" s="19">
        <f>C58/$C$127</f>
        <v/>
      </c>
      <c r="E58" s="38" t="inlineStr">
        <is>
          <t>B03MTD8</t>
        </is>
      </c>
    </row>
    <row r="59">
      <c r="A59" s="28" t="n">
        <v>196322</v>
      </c>
      <c r="B59" s="2" t="inlineStr">
        <is>
          <t>QATAR GAS TRANSPORT CO LTD COMMON STOCK QAR 1</t>
        </is>
      </c>
      <c r="C59" s="18" t="n">
        <v>197150.01</v>
      </c>
      <c r="D59" s="19">
        <f>C59/$C$127</f>
        <v/>
      </c>
      <c r="E59" s="38" t="inlineStr">
        <is>
          <t>B0MLBC9</t>
        </is>
      </c>
    </row>
    <row r="60">
      <c r="A60" s="28" t="n">
        <v>24635</v>
      </c>
      <c r="B60" s="2" t="inlineStr">
        <is>
          <t>SAUDI TELECOM CO COMMON STOCK</t>
        </is>
      </c>
      <c r="C60" s="18" t="n">
        <v>194798.62</v>
      </c>
      <c r="D60" s="19">
        <f>C60/$C$127</f>
        <v/>
      </c>
      <c r="E60" s="38" t="inlineStr">
        <is>
          <t>B12M7Q5</t>
        </is>
      </c>
    </row>
    <row r="61">
      <c r="A61" s="28" t="n">
        <v>7008</v>
      </c>
      <c r="B61" s="2" t="inlineStr">
        <is>
          <t>SAUDI ARAMCO BASE OIL CO COMMON STOCK SAR 10</t>
        </is>
      </c>
      <c r="C61" s="18" t="n">
        <v>193878.64</v>
      </c>
      <c r="D61" s="19">
        <f>C61/$C$127</f>
        <v/>
      </c>
      <c r="E61" s="38" t="inlineStr">
        <is>
          <t>BMDKMB5</t>
        </is>
      </c>
    </row>
    <row r="62">
      <c r="A62" s="28" t="n">
        <v>7421</v>
      </c>
      <c r="B62" s="2" t="inlineStr">
        <is>
          <t>TBC BANK GROUP PLC COMMON STOCK GBP 1</t>
        </is>
      </c>
      <c r="C62" s="18" t="n">
        <v>190719.7</v>
      </c>
      <c r="D62" s="19">
        <f>C62/$C$127</f>
        <v/>
      </c>
      <c r="E62" s="38" t="inlineStr">
        <is>
          <t>BYT1830</t>
        </is>
      </c>
    </row>
    <row r="63">
      <c r="A63" s="41" t="n">
        <v>30929</v>
      </c>
      <c r="B63" s="2" t="inlineStr">
        <is>
          <t>MOL HUNGARIAN OIL &amp; GAS PLC COMMON STOCK HUF 125</t>
        </is>
      </c>
      <c r="C63" s="33" t="n">
        <v>190300.29</v>
      </c>
      <c r="D63" s="19">
        <f>C63/$C$127</f>
        <v/>
      </c>
      <c r="E63" s="38" t="inlineStr">
        <is>
          <t>BD5ZXH8</t>
        </is>
      </c>
    </row>
    <row r="64">
      <c r="A64" s="28" t="n">
        <v>4593</v>
      </c>
      <c r="B64" s="2" t="inlineStr">
        <is>
          <t>ALKHORAYEF WATER &amp; POWER TECHNOLOGIES CO COMMON STOCK SAR 10</t>
        </is>
      </c>
      <c r="C64" s="18" t="n">
        <v>187694.81</v>
      </c>
      <c r="D64" s="19">
        <f>C64/$C$127</f>
        <v/>
      </c>
      <c r="E64" s="38" t="inlineStr">
        <is>
          <t>BN33QN1</t>
        </is>
      </c>
    </row>
    <row r="65">
      <c r="A65" s="28" t="n">
        <v>28042</v>
      </c>
      <c r="B65" s="2" t="inlineStr">
        <is>
          <t>NATIONAL BANK OF GREECE SA COMMON STOCK EUR 1</t>
        </is>
      </c>
      <c r="C65" s="18" t="n">
        <v>185064.82</v>
      </c>
      <c r="D65" s="19">
        <f>C65/$C$127</f>
        <v/>
      </c>
      <c r="E65" s="38" t="inlineStr">
        <is>
          <t>BG087C6</t>
        </is>
      </c>
    </row>
    <row r="66">
      <c r="A66" s="28" t="n">
        <v>8071</v>
      </c>
      <c r="B66" s="2" t="inlineStr">
        <is>
          <t>JUMBO SA COMMON STOCK EUR 0.88</t>
        </is>
      </c>
      <c r="C66" s="18" t="n">
        <v>183389.39</v>
      </c>
      <c r="D66" s="19">
        <f>C66/$C$127</f>
        <v/>
      </c>
      <c r="E66" s="38" t="inlineStr">
        <is>
          <t>7243530</t>
        </is>
      </c>
    </row>
    <row r="67">
      <c r="A67" s="28" t="n">
        <v>9203</v>
      </c>
      <c r="B67" s="2" t="inlineStr">
        <is>
          <t>MOTOR OIL HELLAS CORINTH REFINERIES SA COMMON STOCK EUR 0.75</t>
        </is>
      </c>
      <c r="C67" s="18" t="n">
        <v>182893.85</v>
      </c>
      <c r="D67" s="19">
        <f>C67/$C$127</f>
        <v/>
      </c>
      <c r="E67" s="38" t="inlineStr">
        <is>
          <t>5996234</t>
        </is>
      </c>
    </row>
    <row r="68">
      <c r="A68" s="28" t="n">
        <v>9725</v>
      </c>
      <c r="B68" s="2" t="inlineStr">
        <is>
          <t>UNITED INTERNATIONAL TRANSPORTATION CO COMMON STOCK SAR 10</t>
        </is>
      </c>
      <c r="C68" s="18" t="n">
        <v>180457.24</v>
      </c>
      <c r="D68" s="19">
        <f>C68/$C$127</f>
        <v/>
      </c>
      <c r="E68" s="38" t="inlineStr">
        <is>
          <t>B2493D0</t>
        </is>
      </c>
    </row>
    <row r="69">
      <c r="A69" s="28" t="n">
        <v>144384</v>
      </c>
      <c r="B69" s="2" t="inlineStr">
        <is>
          <t>DUBAI ISLAMIC BANK PJSC COMMON STOCK AED 1</t>
        </is>
      </c>
      <c r="C69" s="18" t="n">
        <v>178185.08</v>
      </c>
      <c r="D69" s="19">
        <f>C69/$C$127</f>
        <v/>
      </c>
      <c r="E69" s="38" t="inlineStr">
        <is>
          <t>6283452</t>
        </is>
      </c>
    </row>
    <row r="70">
      <c r="A70" s="28" t="n">
        <v>14151</v>
      </c>
      <c r="B70" s="2" t="inlineStr">
        <is>
          <t>BIDVEST GROUP LTD/THE COMMON STOCK ZAR 5</t>
        </is>
      </c>
      <c r="C70" s="18" t="n">
        <v>174361.17</v>
      </c>
      <c r="D70" s="19">
        <f>C70/$C$127</f>
        <v/>
      </c>
      <c r="E70" s="38" t="inlineStr">
        <is>
          <t>6100089</t>
        </is>
      </c>
    </row>
    <row r="71">
      <c r="A71" s="28" t="n">
        <v>1892</v>
      </c>
      <c r="B71" s="2" t="inlineStr">
        <is>
          <t>KRUK SA COMMON STOCK PLN 1</t>
        </is>
      </c>
      <c r="C71" s="18" t="n">
        <v>172232.01</v>
      </c>
      <c r="D71" s="19">
        <f>C71/$C$127</f>
        <v/>
      </c>
      <c r="E71" s="38" t="inlineStr">
        <is>
          <t>B4PTLY0</t>
        </is>
      </c>
    </row>
    <row r="72">
      <c r="A72" s="28" t="n">
        <v>111134</v>
      </c>
      <c r="B72" s="2" t="inlineStr">
        <is>
          <t>AKBANK TAS COMMON STOCK TRY 1</t>
        </is>
      </c>
      <c r="C72" s="18" t="n">
        <v>171762.89</v>
      </c>
      <c r="D72" s="19">
        <f>C72/$C$127</f>
        <v/>
      </c>
      <c r="E72" s="38" t="inlineStr">
        <is>
          <t>B03MN70</t>
        </is>
      </c>
    </row>
    <row r="73">
      <c r="A73" s="28" t="n">
        <v>11541</v>
      </c>
      <c r="B73" s="2" t="inlineStr">
        <is>
          <t>CLICKS GROUP LTD COMMON STOCK ZAR 1</t>
        </is>
      </c>
      <c r="C73" s="18" t="n">
        <v>171596.53</v>
      </c>
      <c r="D73" s="19">
        <f>C73/$C$127</f>
        <v/>
      </c>
      <c r="E73" s="38" t="inlineStr">
        <is>
          <t>6105578</t>
        </is>
      </c>
    </row>
    <row r="74">
      <c r="A74" s="28" t="n">
        <v>361140</v>
      </c>
      <c r="B74" s="2" t="inlineStr">
        <is>
          <t>DUBAI ELECTRICITY &amp; WATER AU</t>
        </is>
      </c>
      <c r="C74" s="18" t="n">
        <v>171118.09</v>
      </c>
      <c r="D74" s="19">
        <f>C74/$C$127</f>
        <v/>
      </c>
      <c r="E74" s="38" t="inlineStr">
        <is>
          <t>BJLTVJ4</t>
        </is>
      </c>
    </row>
    <row r="75">
      <c r="A75" s="28" t="n">
        <v>8057</v>
      </c>
      <c r="B75" s="2" t="inlineStr">
        <is>
          <t>RIYADH CABLES GROUP CO COMMON STOCK SAR 10</t>
        </is>
      </c>
      <c r="C75" s="18" t="n">
        <v>170912.33</v>
      </c>
      <c r="D75" s="19">
        <f>C75/$C$127</f>
        <v/>
      </c>
      <c r="E75" s="38" t="inlineStr">
        <is>
          <t>BNBPXW7</t>
        </is>
      </c>
    </row>
    <row r="76">
      <c r="A76" s="28" t="n">
        <v>22901</v>
      </c>
      <c r="B76" s="2" t="inlineStr">
        <is>
          <t>TURK HAVA YOLLARI AO COMMON STOCK TRY 1</t>
        </is>
      </c>
      <c r="C76" s="18" t="n">
        <v>170617.93</v>
      </c>
      <c r="D76" s="19">
        <f>C76/$C$127</f>
        <v/>
      </c>
      <c r="E76" s="38" t="inlineStr">
        <is>
          <t>B03MYK0</t>
        </is>
      </c>
    </row>
    <row r="77">
      <c r="A77" s="28" t="n">
        <v>74864</v>
      </c>
      <c r="B77" s="2" t="inlineStr">
        <is>
          <t>MAGYAR TELEKOM TELECOMMUNICATIONS PLC COMMON STOCK HUF 100</t>
        </is>
      </c>
      <c r="C77" s="18" t="n">
        <v>166827.55</v>
      </c>
      <c r="D77" s="19">
        <f>C77/$C$127</f>
        <v/>
      </c>
      <c r="E77" s="38" t="inlineStr">
        <is>
          <t>4577469</t>
        </is>
      </c>
    </row>
    <row r="78">
      <c r="A78" s="28" t="n">
        <v>20423</v>
      </c>
      <c r="B78" s="2" t="inlineStr">
        <is>
          <t>SAUDI AWWAL BANK COMMON STOCK SAR 10</t>
        </is>
      </c>
      <c r="C78" s="18" t="n">
        <v>166229.8</v>
      </c>
      <c r="D78" s="19">
        <f>C78/$C$127</f>
        <v/>
      </c>
      <c r="E78" s="38" t="inlineStr">
        <is>
          <t>B12LSY7</t>
        </is>
      </c>
    </row>
    <row r="79">
      <c r="A79" s="28" t="n">
        <v>39150</v>
      </c>
      <c r="B79" s="2" t="inlineStr">
        <is>
          <t>ADES HOLDING CO COMMON STOCK SAR 1</t>
        </is>
      </c>
      <c r="C79" s="18" t="n">
        <v>165931.89</v>
      </c>
      <c r="D79" s="19">
        <f>C79/$C$127</f>
        <v/>
      </c>
      <c r="E79" s="38" t="inlineStr">
        <is>
          <t>BR56KM3</t>
        </is>
      </c>
    </row>
    <row r="80">
      <c r="A80" s="28" t="n">
        <v>5598</v>
      </c>
      <c r="B80" s="2" t="inlineStr">
        <is>
          <t>METLEN ENERGY &amp; METALS SA COMMON STOCK EUR 0.97</t>
        </is>
      </c>
      <c r="C80" s="18" t="n">
        <v>165452.12</v>
      </c>
      <c r="D80" s="19">
        <f>C80/$C$127</f>
        <v/>
      </c>
      <c r="E80" s="38" t="inlineStr">
        <is>
          <t>5898664</t>
        </is>
      </c>
    </row>
    <row r="81">
      <c r="A81" s="28" t="n">
        <v>1268490</v>
      </c>
      <c r="B81" s="2" t="inlineStr">
        <is>
          <t>NOVATEK PJSC COMMON STOCK RUB 0.1</t>
        </is>
      </c>
      <c r="C81" s="18" t="n">
        <v>147641.39</v>
      </c>
      <c r="D81" s="19">
        <f>C81/$C$127</f>
        <v/>
      </c>
      <c r="E81" s="38" t="inlineStr">
        <is>
          <t>2H6464S</t>
        </is>
      </c>
    </row>
    <row r="82">
      <c r="A82" s="28" t="n">
        <v>103572</v>
      </c>
      <c r="B82" s="2" t="inlineStr">
        <is>
          <t>NOVATEK PJSC COMMON STOCK RUB 0.1</t>
        </is>
      </c>
      <c r="C82" s="18" t="n">
        <v>12581.16</v>
      </c>
      <c r="D82" s="19">
        <f>C82/$C$127</f>
        <v/>
      </c>
      <c r="E82" s="38" t="inlineStr">
        <is>
          <t>0H5828S</t>
        </is>
      </c>
    </row>
    <row r="83">
      <c r="A83" s="28" t="n"/>
      <c r="B83" s="27" t="inlineStr">
        <is>
          <t>Subtotal</t>
        </is>
      </c>
      <c r="C83" s="29">
        <f>+C82+C81</f>
        <v/>
      </c>
      <c r="D83" s="31">
        <f>C83/$C$130</f>
        <v/>
      </c>
      <c r="E83" s="38" t="n"/>
    </row>
    <row r="84">
      <c r="A84" s="28" t="n">
        <v>5652</v>
      </c>
      <c r="B84" s="2" t="inlineStr">
        <is>
          <t>KOMERCNI BANKA AS COMMON STOCK CZK 100</t>
        </is>
      </c>
      <c r="C84" s="18" t="n">
        <v>149524.82</v>
      </c>
      <c r="D84" s="19">
        <f>C84/$C$127</f>
        <v/>
      </c>
      <c r="E84" s="38" t="inlineStr">
        <is>
          <t>4519449</t>
        </is>
      </c>
    </row>
    <row r="85">
      <c r="A85" s="28" t="n">
        <v>61090</v>
      </c>
      <c r="B85" s="2" t="inlineStr">
        <is>
          <t>TURKCELL ILETISIM HIZMET AS</t>
        </is>
      </c>
      <c r="C85" s="18" t="n">
        <v>148149.24</v>
      </c>
      <c r="D85" s="19">
        <f>C85/$C$127</f>
        <v/>
      </c>
      <c r="E85" s="38" t="inlineStr">
        <is>
          <t>B03MYN3</t>
        </is>
      </c>
    </row>
    <row r="86">
      <c r="A86" s="28" t="n">
        <v>12548</v>
      </c>
      <c r="B86" s="2" t="inlineStr">
        <is>
          <t>HELLENIC TELECOMMUNICATIONS ORGANIZATION SA COMMON STOCK EUR 2.83</t>
        </is>
      </c>
      <c r="C86" s="18" t="n">
        <v>142983.47</v>
      </c>
      <c r="D86" s="19">
        <f>C86/$C$127</f>
        <v/>
      </c>
      <c r="E86" s="38" t="inlineStr">
        <is>
          <t>5051605</t>
        </is>
      </c>
    </row>
    <row r="87">
      <c r="A87" s="28" t="n">
        <v>11282</v>
      </c>
      <c r="B87" s="2" t="inlineStr">
        <is>
          <t>OPAP SA COMMON STOCK EUR 0.3</t>
        </is>
      </c>
      <c r="C87" s="18" t="n">
        <v>140035.85</v>
      </c>
      <c r="D87" s="19">
        <f>C87/$C$127</f>
        <v/>
      </c>
      <c r="E87" s="38" t="inlineStr">
        <is>
          <t>7107250</t>
        </is>
      </c>
    </row>
    <row r="88">
      <c r="A88" s="41" t="n">
        <v>48227</v>
      </c>
      <c r="B88" s="2" t="inlineStr">
        <is>
          <t>PIRAEUS FINANCIAL HOLDINGS SA COMMON STOCK EUR 0.93</t>
        </is>
      </c>
      <c r="C88" s="33" t="n">
        <v>139266.59</v>
      </c>
      <c r="D88" s="19">
        <f>C88/$C$127</f>
        <v/>
      </c>
      <c r="E88" s="38" t="inlineStr">
        <is>
          <t>BNC0DB0</t>
        </is>
      </c>
    </row>
    <row r="89">
      <c r="A89" s="28" t="n">
        <v>234924</v>
      </c>
      <c r="B89" s="2" t="inlineStr">
        <is>
          <t>PARKIN CO PJSC COMMON STOCK AED 0.02</t>
        </is>
      </c>
      <c r="C89" s="18" t="n">
        <v>137623.92</v>
      </c>
      <c r="D89" s="19">
        <f>C89/$C$127</f>
        <v/>
      </c>
      <c r="E89" s="38" t="inlineStr">
        <is>
          <t>BRRGQF6</t>
        </is>
      </c>
    </row>
    <row r="90">
      <c r="A90" s="28" t="n">
        <v>764</v>
      </c>
      <c r="B90" s="2" t="inlineStr">
        <is>
          <t>ELM CO COMMON STOCK SAR 10</t>
        </is>
      </c>
      <c r="C90" s="18" t="n">
        <v>137450.47</v>
      </c>
      <c r="D90" s="19">
        <f>C90/$C$127</f>
        <v/>
      </c>
      <c r="E90" s="38" t="inlineStr">
        <is>
          <t>BNYDSH8</t>
        </is>
      </c>
    </row>
    <row r="91">
      <c r="A91" s="28" t="n">
        <v>7428</v>
      </c>
      <c r="B91" s="2" t="inlineStr">
        <is>
          <t>BID CORP LTD COMMON STOCK ZAR</t>
        </is>
      </c>
      <c r="C91" s="18" t="n">
        <v>136724.31</v>
      </c>
      <c r="D91" s="19">
        <f>C91/$C$127</f>
        <v/>
      </c>
      <c r="E91" s="38" t="inlineStr">
        <is>
          <t>BZBFKT7</t>
        </is>
      </c>
    </row>
    <row r="92">
      <c r="A92" s="28" t="n">
        <v>105464</v>
      </c>
      <c r="B92" s="2" t="inlineStr">
        <is>
          <t>ALPHA SERVICES AND HOLDINGS SA COMMON STOCK EUR 0.29</t>
        </is>
      </c>
      <c r="C92" s="18" t="n">
        <v>136002.07</v>
      </c>
      <c r="D92" s="19">
        <f>C92/$C$127</f>
        <v/>
      </c>
      <c r="E92" s="38" t="inlineStr">
        <is>
          <t>BZ1MXR7</t>
        </is>
      </c>
    </row>
    <row r="93">
      <c r="A93" s="28" t="n">
        <v>187852</v>
      </c>
      <c r="B93" s="2" t="inlineStr">
        <is>
          <t>SALIK CO PJSC COMMON STOCK AED 0.01</t>
        </is>
      </c>
      <c r="C93" s="18" t="n">
        <v>135941.71</v>
      </c>
      <c r="D93" s="19">
        <f>C93/$C$127</f>
        <v/>
      </c>
      <c r="E93" s="38" t="inlineStr">
        <is>
          <t>BJN5952</t>
        </is>
      </c>
    </row>
    <row r="94">
      <c r="A94" s="28" t="n">
        <v>7119200</v>
      </c>
      <c r="B94" s="2" t="inlineStr">
        <is>
          <t>MMC NORILSK NICKEL PJSC COMMON STOCK RUB 1</t>
        </is>
      </c>
      <c r="C94" s="18" t="n">
        <v>135936.9</v>
      </c>
      <c r="D94" s="19">
        <f>C94/$C$127</f>
        <v/>
      </c>
      <c r="E94" s="38" t="inlineStr">
        <is>
          <t>0H5804S</t>
        </is>
      </c>
    </row>
    <row r="95">
      <c r="A95" s="28" t="n">
        <v>31957</v>
      </c>
      <c r="B95" s="2" t="inlineStr">
        <is>
          <t>ARABIAN CENTRES CO COMMON STOCK SAR 10</t>
        </is>
      </c>
      <c r="C95" s="18" t="n">
        <v>135849.66</v>
      </c>
      <c r="D95" s="19">
        <f>C95/$C$127</f>
        <v/>
      </c>
      <c r="E95" s="38" t="inlineStr">
        <is>
          <t>BKBF694</t>
        </is>
      </c>
    </row>
    <row r="96">
      <c r="A96" s="28" t="n">
        <v>2526</v>
      </c>
      <c r="B96" s="2" t="inlineStr">
        <is>
          <t>BUPA ARABIA FOR COOPERATIVE INSURANCE CO COMMON STOCK SAR 10</t>
        </is>
      </c>
      <c r="C96" s="18" t="n">
        <v>135397.59</v>
      </c>
      <c r="D96" s="19">
        <f>C96/$C$127</f>
        <v/>
      </c>
      <c r="E96" s="38" t="inlineStr">
        <is>
          <t>B2RLCR0</t>
        </is>
      </c>
    </row>
    <row r="97">
      <c r="A97" s="28" t="n">
        <v>165133</v>
      </c>
      <c r="B97" s="2" t="inlineStr">
        <is>
          <t>YAPI VE KREDI BANKASI AS COMMON STOCK TRY 1</t>
        </is>
      </c>
      <c r="C97" s="18" t="n">
        <v>134683.32</v>
      </c>
      <c r="D97" s="19">
        <f>C97/$C$127</f>
        <v/>
      </c>
      <c r="E97" s="38" t="inlineStr">
        <is>
          <t>B03MZJ6</t>
        </is>
      </c>
    </row>
    <row r="98">
      <c r="A98" s="28" t="n">
        <v>60427</v>
      </c>
      <c r="B98" s="2" t="inlineStr">
        <is>
          <t>OOREDOO QPSC COMMON STOCK QAR 1</t>
        </is>
      </c>
      <c r="C98" s="18" t="n">
        <v>132470.78</v>
      </c>
      <c r="D98" s="19">
        <f>C98/$C$127</f>
        <v/>
      </c>
      <c r="E98" s="38" t="inlineStr">
        <is>
          <t>6158174</t>
        </is>
      </c>
    </row>
    <row r="99">
      <c r="A99" s="28" t="n">
        <v>234111</v>
      </c>
      <c r="B99" s="2" t="inlineStr">
        <is>
          <t>TECOM GROUP PJSC COMMON STOCK AED</t>
        </is>
      </c>
      <c r="C99" s="18" t="n">
        <v>131097.02</v>
      </c>
      <c r="D99" s="19">
        <f>C99/$C$127</f>
        <v/>
      </c>
      <c r="E99" s="38" t="inlineStr">
        <is>
          <t>BLDC8Q1</t>
        </is>
      </c>
    </row>
    <row r="100">
      <c r="A100" s="28" t="n">
        <v>30154</v>
      </c>
      <c r="B100" s="2" t="inlineStr">
        <is>
          <t>AVI LTD COMMON STOCK ZAR 5</t>
        </is>
      </c>
      <c r="C100" s="18" t="n">
        <v>123568.55</v>
      </c>
      <c r="D100" s="19">
        <f>C100/$C$127</f>
        <v/>
      </c>
      <c r="E100" s="38" t="inlineStr">
        <is>
          <t>6040958</t>
        </is>
      </c>
    </row>
    <row r="101">
      <c r="A101" s="28" t="n">
        <v>30065</v>
      </c>
      <c r="B101" s="2" t="inlineStr">
        <is>
          <t>MOTUS HOLDINGS LTD COMMON STOCK ZAR</t>
        </is>
      </c>
      <c r="C101" s="18" t="n">
        <v>120325.3</v>
      </c>
      <c r="D101" s="19">
        <f>C101/$C$127</f>
        <v/>
      </c>
      <c r="E101" s="38" t="inlineStr">
        <is>
          <t>BDRN3H0</t>
        </is>
      </c>
    </row>
    <row r="102">
      <c r="A102" s="28" t="n">
        <v>133931</v>
      </c>
      <c r="B102" s="2" t="inlineStr">
        <is>
          <t>ADNOC LOGISTICS &amp; SERVICES COMMON STOCK AED</t>
        </is>
      </c>
      <c r="C102" s="18" t="n">
        <v>120285.92</v>
      </c>
      <c r="D102" s="19">
        <f>C102/$C$127</f>
        <v/>
      </c>
      <c r="E102" s="38" t="inlineStr">
        <is>
          <t>BRBN103</t>
        </is>
      </c>
    </row>
    <row r="103">
      <c r="A103" s="28" t="n">
        <v>4570</v>
      </c>
      <c r="B103" s="2" t="inlineStr">
        <is>
          <t>ALDREES PETROLEUM AND TRANSPORT SERVICES CO COMMON STOCK SAR 10</t>
        </is>
      </c>
      <c r="C103" s="18" t="n">
        <v>117565.01</v>
      </c>
      <c r="D103" s="19">
        <f>C103/$C$127</f>
        <v/>
      </c>
      <c r="E103" s="38" t="inlineStr">
        <is>
          <t>B128FF8</t>
        </is>
      </c>
    </row>
    <row r="104">
      <c r="A104" s="28" t="n">
        <v>2041744</v>
      </c>
      <c r="B104" s="2" t="inlineStr">
        <is>
          <t>ROSNEFT OIL CO PJSC COMMON STOCK RUB 0.01</t>
        </is>
      </c>
      <c r="C104" s="18" t="n">
        <v>60123.19</v>
      </c>
      <c r="D104" s="19">
        <f>C104/$C$127</f>
        <v/>
      </c>
      <c r="E104" s="38" t="inlineStr">
        <is>
          <t>0H5827S</t>
        </is>
      </c>
    </row>
    <row r="105">
      <c r="A105" s="28" t="n">
        <v>1677948</v>
      </c>
      <c r="B105" s="2" t="inlineStr">
        <is>
          <t>ROSNEFT OIL CO PJSC COMMON STOCK RUB</t>
        </is>
      </c>
      <c r="C105" s="18" t="n">
        <v>47401.13</v>
      </c>
      <c r="D105" s="19">
        <f>C105/$C$127</f>
        <v/>
      </c>
      <c r="E105" s="38" t="inlineStr">
        <is>
          <t>2H7674S</t>
        </is>
      </c>
    </row>
    <row r="106">
      <c r="A106" s="28" t="n"/>
      <c r="B106" s="27" t="inlineStr">
        <is>
          <t>Subtotal</t>
        </is>
      </c>
      <c r="C106" s="29">
        <f>+C105+C104</f>
        <v/>
      </c>
      <c r="D106" s="31">
        <f>C106/$C$130</f>
        <v/>
      </c>
      <c r="E106" s="38" t="n"/>
    </row>
    <row r="107">
      <c r="A107" s="28" t="n">
        <v>2657</v>
      </c>
      <c r="B107" s="2" t="inlineStr">
        <is>
          <t>ERSTE GROUP BANK AG COMMON STOCK EUR 0</t>
        </is>
      </c>
      <c r="C107" s="18" t="n">
        <v>99682.03</v>
      </c>
      <c r="D107" s="19">
        <f>C107/$C$127</f>
        <v/>
      </c>
      <c r="E107" s="38" t="inlineStr">
        <is>
          <t>5289837</t>
        </is>
      </c>
    </row>
    <row r="108">
      <c r="A108" s="28" t="n">
        <v>3385</v>
      </c>
      <c r="B108" s="2" t="inlineStr">
        <is>
          <t>ARABIAN DRILLING CO COMMON STOCK SAR 10</t>
        </is>
      </c>
      <c r="C108" s="18" t="n">
        <v>96216.73</v>
      </c>
      <c r="D108" s="19">
        <f>C108/$C$127</f>
        <v/>
      </c>
      <c r="E108" s="38" t="inlineStr">
        <is>
          <t>BPNZYP9</t>
        </is>
      </c>
    </row>
    <row r="109">
      <c r="A109" s="28" t="n">
        <v>5361</v>
      </c>
      <c r="B109" s="2" t="inlineStr">
        <is>
          <t>RAIFFEISEN BANK INTERNATIONAL AG COMMON STOCK EUR 0</t>
        </is>
      </c>
      <c r="C109" s="18" t="n">
        <v>73633.07000000001</v>
      </c>
      <c r="D109" s="19">
        <f>C109/$C$127</f>
        <v/>
      </c>
      <c r="E109" s="38" t="inlineStr">
        <is>
          <t>B0704T9</t>
        </is>
      </c>
    </row>
    <row r="110">
      <c r="A110" s="28" t="n">
        <v>3657350</v>
      </c>
      <c r="B110" s="2" t="inlineStr">
        <is>
          <t>NOVOLIPETSK STEEL PJSC COMMON STOCK RUB</t>
        </is>
      </c>
      <c r="C110" s="18" t="n">
        <v>62896.61</v>
      </c>
      <c r="D110" s="19">
        <f>C110/$C$127</f>
        <v/>
      </c>
      <c r="E110" s="38" t="inlineStr">
        <is>
          <t>2H7675S</t>
        </is>
      </c>
    </row>
    <row r="111">
      <c r="A111" s="28" t="n">
        <v>180877</v>
      </c>
      <c r="B111" s="2" t="inlineStr">
        <is>
          <t>MAGNIT PJSC COMMON STOCK RUB 0.01</t>
        </is>
      </c>
      <c r="C111" s="18" t="n">
        <v>53608.66</v>
      </c>
      <c r="D111" s="19">
        <f>C111/$C$127</f>
        <v/>
      </c>
      <c r="E111" s="38" t="inlineStr">
        <is>
          <t>0H5813S</t>
        </is>
      </c>
    </row>
    <row r="112">
      <c r="A112" s="28" t="n">
        <v>1265335</v>
      </c>
      <c r="B112" s="2" t="inlineStr">
        <is>
          <t>GAZPROM NEFT PJSC COMMON STOCK RUB</t>
        </is>
      </c>
      <c r="C112" s="18" t="n">
        <v>48444.43</v>
      </c>
      <c r="D112" s="19">
        <f>C112/$C$127</f>
        <v/>
      </c>
      <c r="E112" s="38" t="inlineStr">
        <is>
          <t>0H5803S</t>
        </is>
      </c>
    </row>
    <row r="113">
      <c r="A113" s="28" t="n">
        <v>730066</v>
      </c>
      <c r="B113" s="2" t="inlineStr">
        <is>
          <t>TATNEFT PJSC COMMON STOCK RUB</t>
        </is>
      </c>
      <c r="C113" s="18" t="n">
        <v>26199.56</v>
      </c>
      <c r="D113" s="19">
        <f>C113/$C$127</f>
        <v/>
      </c>
      <c r="E113" s="38" t="inlineStr">
        <is>
          <t>0H5822S</t>
        </is>
      </c>
    </row>
    <row r="114">
      <c r="A114" s="28" t="n">
        <v>571359</v>
      </c>
      <c r="B114" s="2" t="inlineStr">
        <is>
          <t>TATNEFT PJSC PREFERENCE RUB 1</t>
        </is>
      </c>
      <c r="C114" s="18" t="n">
        <v>18157.84</v>
      </c>
      <c r="D114" s="19">
        <f>C114/$C$127</f>
        <v/>
      </c>
      <c r="E114" s="38" t="inlineStr">
        <is>
          <t>0H5816S</t>
        </is>
      </c>
    </row>
    <row r="115">
      <c r="A115" s="28" t="n"/>
      <c r="B115" s="27" t="inlineStr">
        <is>
          <t>Subtotal</t>
        </is>
      </c>
      <c r="C115" s="29">
        <f>+C114+C113</f>
        <v/>
      </c>
      <c r="D115" s="31">
        <f>C115/$C$130</f>
        <v/>
      </c>
      <c r="E115" s="38" t="n"/>
    </row>
    <row r="116">
      <c r="A116" s="28" t="n">
        <v>6156103</v>
      </c>
      <c r="B116" s="2" t="inlineStr">
        <is>
          <t>ROSTELECOM PJSC COMMON STOCK RUB</t>
        </is>
      </c>
      <c r="C116" s="18" t="n">
        <v>41788.25</v>
      </c>
      <c r="D116" s="19">
        <f>C116/$C$127</f>
        <v/>
      </c>
      <c r="E116" s="38" t="inlineStr">
        <is>
          <t>0H5802S</t>
        </is>
      </c>
    </row>
    <row r="117">
      <c r="A117" s="28" t="n">
        <v>21233273216</v>
      </c>
      <c r="B117" s="2" t="inlineStr">
        <is>
          <t>VTB BANK PJSC COMMON STOCK RUB 0.01</t>
        </is>
      </c>
      <c r="C117" s="18" t="n">
        <v>39977.21</v>
      </c>
      <c r="D117" s="19">
        <f>C117/$C$127</f>
        <v/>
      </c>
      <c r="E117" s="38" t="inlineStr">
        <is>
          <t>0H5837S</t>
        </is>
      </c>
    </row>
    <row r="118">
      <c r="A118" s="28" t="n">
        <v>29773</v>
      </c>
      <c r="B118" s="2" t="inlineStr">
        <is>
          <t>POLYUS PJSC COMMON STOCK RUB</t>
        </is>
      </c>
      <c r="C118" s="18" t="n">
        <v>30376.87</v>
      </c>
      <c r="D118" s="19">
        <f>C118/$C$127</f>
        <v/>
      </c>
      <c r="E118" s="38" t="inlineStr">
        <is>
          <t>2H7182S</t>
        </is>
      </c>
    </row>
    <row r="119">
      <c r="A119" s="28" t="n">
        <v>169819</v>
      </c>
      <c r="B119" s="2" t="inlineStr">
        <is>
          <t>YANDEX NV COMMON STOCK USD 0.01</t>
        </is>
      </c>
      <c r="C119" s="18" t="n">
        <v>25443.97</v>
      </c>
      <c r="D119" s="19">
        <f>C119/$C$127</f>
        <v/>
      </c>
      <c r="E119" s="38" t="inlineStr">
        <is>
          <t>0H6379S</t>
        </is>
      </c>
    </row>
    <row r="120">
      <c r="A120" s="28" t="n">
        <v>432517</v>
      </c>
      <c r="B120" s="2" t="inlineStr">
        <is>
          <t>MD MEDICAL GROUP INVESTMENTS PLC GDR USD</t>
        </is>
      </c>
      <c r="C120" s="18" t="n">
        <v>19502.78</v>
      </c>
      <c r="D120" s="19">
        <f>C120/$C$127</f>
        <v/>
      </c>
      <c r="E120" s="38" t="inlineStr">
        <is>
          <t>0H6371S</t>
        </is>
      </c>
    </row>
    <row r="121">
      <c r="A121" s="28" t="n">
        <v>12313057</v>
      </c>
      <c r="B121" s="2" t="inlineStr">
        <is>
          <t>SISTEMA PJSFC COMMON STOCK RUB 0.09</t>
        </is>
      </c>
      <c r="C121" s="18" t="n">
        <v>14658.68</v>
      </c>
      <c r="D121" s="19">
        <f>C121/$C$127</f>
        <v/>
      </c>
      <c r="E121" s="38" t="inlineStr">
        <is>
          <t>0H5808S</t>
        </is>
      </c>
    </row>
    <row r="122">
      <c r="A122" s="28" t="n">
        <v>577525</v>
      </c>
      <c r="B122" s="2" t="inlineStr">
        <is>
          <t>FIX PRICE GROUP LTD GDR</t>
        </is>
      </c>
      <c r="C122" s="18" t="n">
        <v>4294.55</v>
      </c>
      <c r="D122" s="19">
        <f>C122/$C$127</f>
        <v/>
      </c>
      <c r="E122" s="38" t="inlineStr">
        <is>
          <t>0H6372S</t>
        </is>
      </c>
    </row>
    <row r="123">
      <c r="A123" s="28" t="n">
        <v>75226</v>
      </c>
      <c r="B123" s="2" t="inlineStr">
        <is>
          <t>TCS GROUP HOLDING PLC GDR</t>
        </is>
      </c>
      <c r="C123" s="18" t="n">
        <v>1900.14</v>
      </c>
      <c r="D123" s="19">
        <f>C123/$C$127</f>
        <v/>
      </c>
      <c r="E123" s="38" t="inlineStr">
        <is>
          <t>0H6380S</t>
        </is>
      </c>
    </row>
    <row r="124">
      <c r="A124" s="28" t="n">
        <v>275182</v>
      </c>
      <c r="B124" s="2" t="inlineStr">
        <is>
          <t>X 5 RETAIL GROUP NV-REGS GDR</t>
        </is>
      </c>
      <c r="C124" s="18" t="n">
        <v>1156.81</v>
      </c>
      <c r="D124" s="19">
        <f>C124/$C$127</f>
        <v/>
      </c>
      <c r="E124" s="38" t="inlineStr">
        <is>
          <t>0H6365S</t>
        </is>
      </c>
    </row>
    <row r="125">
      <c r="A125" s="28" t="n">
        <v>552780</v>
      </c>
      <c r="B125" s="2" t="inlineStr">
        <is>
          <t>SEVERSTAL PAO GDR USD</t>
        </is>
      </c>
      <c r="C125" s="18" t="n">
        <v>262.81</v>
      </c>
      <c r="D125" s="19">
        <f>C125/$C$127</f>
        <v/>
      </c>
      <c r="E125" s="38" t="inlineStr">
        <is>
          <t>0H6368S</t>
        </is>
      </c>
    </row>
    <row r="126">
      <c r="A126" s="28" t="n"/>
      <c r="B126" s="2" t="n"/>
      <c r="C126" s="18" t="n"/>
      <c r="D126" s="19" t="n"/>
      <c r="E126" s="38" t="n"/>
    </row>
    <row r="127">
      <c r="A127" s="28" t="n"/>
      <c r="B127" s="21" t="inlineStr">
        <is>
          <t>Total portfolio</t>
        </is>
      </c>
      <c r="C127" s="39">
        <f>SUM(C12:C28)+SUM(C30:C46)+SUM(C48:C53)+SUM(C55:C82)+SUM(C84:C105)+SUM(C107:C114)+SUM(C116:C125)</f>
        <v/>
      </c>
      <c r="D127" s="19">
        <f>C127/$C$130</f>
        <v/>
      </c>
      <c r="E127" s="20" t="n"/>
    </row>
    <row r="128">
      <c r="A128" s="28" t="n"/>
      <c r="B128" s="21" t="inlineStr">
        <is>
          <t>Net Current Assets</t>
        </is>
      </c>
      <c r="C128" s="39" t="n">
        <v>75014.58</v>
      </c>
      <c r="D128" s="19">
        <f>C128/$C$130</f>
        <v/>
      </c>
      <c r="E128" s="20" t="n"/>
    </row>
    <row r="129">
      <c r="A129" s="28" t="n"/>
      <c r="B129" s="21" t="n"/>
      <c r="C129" s="39" t="n"/>
      <c r="D129" s="32" t="n"/>
      <c r="E129" s="20" t="n"/>
    </row>
    <row r="130">
      <c r="A130" s="17" t="n"/>
      <c r="B130" s="21" t="inlineStr">
        <is>
          <t>Total Assets</t>
        </is>
      </c>
      <c r="C130" s="22">
        <f>C127+C128</f>
        <v/>
      </c>
      <c r="D130" s="19">
        <f>C130/$C$130</f>
        <v/>
      </c>
      <c r="E130" s="3" t="n"/>
    </row>
    <row r="131" ht="12.75" customHeight="1" s="42">
      <c r="A131"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2"/>
    <row r="133"/>
    <row r="134"/>
  </sheetData>
  <mergeCells count="2">
    <mergeCell ref="A131:E134"/>
    <mergeCell ref="A3:E6"/>
  </mergeCells>
  <conditionalFormatting sqref="B12:B14">
    <cfRule type="containsText" priority="5" operator="containsText" dxfId="0" text="LIQUIDITY">
      <formula>NOT(ISERROR(SEARCH("LIQUIDITY",B12)))</formula>
    </cfRule>
  </conditionalFormatting>
  <conditionalFormatting sqref="B16:B126">
    <cfRule type="containsText" priority="1" operator="containsText" dxfId="0" text="LIQUIDITY">
      <formula>NOT(ISERROR(SEARCH("LIQUIDITY",B16)))</formula>
    </cfRule>
  </conditionalFormatting>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33"/>
  <sheetViews>
    <sheetView topLeftCell="A107" workbookViewId="0">
      <selection activeCell="B127" sqref="B127"/>
    </sheetView>
  </sheetViews>
  <sheetFormatPr baseColWidth="8" defaultRowHeight="12.75"/>
  <cols>
    <col width="11.2851562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81271</v>
      </c>
      <c r="B12" s="2" t="inlineStr">
        <is>
          <t>THE SAUDI NATIONAL BANK</t>
        </is>
      </c>
      <c r="C12" s="18" t="n">
        <v>576083.34</v>
      </c>
      <c r="D12" s="19">
        <f>C12/$C$126</f>
        <v/>
      </c>
      <c r="E12" s="20" t="inlineStr">
        <is>
          <t>BSHYYN1</t>
        </is>
      </c>
    </row>
    <row r="13">
      <c r="A13" s="41" t="n">
        <v>32585</v>
      </c>
      <c r="B13" s="2" t="inlineStr">
        <is>
          <t>AL RAJHI BANK COMMON STOCK SAR 10</t>
        </is>
      </c>
      <c r="C13" s="18" t="n">
        <v>519270.22</v>
      </c>
      <c r="D13" s="19">
        <f>C13/$C$126</f>
        <v/>
      </c>
      <c r="E13" s="20" t="inlineStr">
        <is>
          <t>B12LZH9</t>
        </is>
      </c>
    </row>
    <row r="14">
      <c r="A14" s="41" t="n">
        <v>514330.73</v>
      </c>
      <c r="B14" s="2" t="inlineStr">
        <is>
          <t>JPM GBP LIQUIDITY LVNAV X (DIST.)</t>
        </is>
      </c>
      <c r="C14" s="18" t="n">
        <v>514330.73</v>
      </c>
      <c r="D14" s="19">
        <f>C14/$C$126</f>
        <v/>
      </c>
      <c r="E14" s="20" t="inlineStr">
        <is>
          <t>5819115</t>
        </is>
      </c>
    </row>
    <row r="15">
      <c r="A15" s="41" t="n">
        <v>73566</v>
      </c>
      <c r="B15" s="45" t="inlineStr">
        <is>
          <t>SAUDI ARABIAN OIL CO COMMON STOCK SAR</t>
        </is>
      </c>
      <c r="C15" s="33" t="n">
        <v>446751.66</v>
      </c>
      <c r="D15" s="19">
        <f>C15/$C$126</f>
        <v/>
      </c>
      <c r="E15" s="20" t="inlineStr">
        <is>
          <t>BJTM270</t>
        </is>
      </c>
    </row>
    <row r="16">
      <c r="A16" s="41" t="n">
        <v>164763</v>
      </c>
      <c r="B16" s="2" t="inlineStr">
        <is>
          <t>FIRSTRAND LTD COMMON STOCK ZAR 1</t>
        </is>
      </c>
      <c r="C16" s="18" t="n">
        <v>446701.01</v>
      </c>
      <c r="D16" s="19">
        <f>C16/$C$126</f>
        <v/>
      </c>
      <c r="E16" s="20" t="inlineStr">
        <is>
          <t>6606996</t>
        </is>
      </c>
    </row>
    <row r="17">
      <c r="A17" s="41" t="n">
        <v>92792</v>
      </c>
      <c r="B17" s="2" t="inlineStr">
        <is>
          <t>TUPRAS-TURKIYE PETROL RAFINE</t>
        </is>
      </c>
      <c r="C17" s="18" t="n">
        <v>399824.9</v>
      </c>
      <c r="D17" s="19">
        <f>C17/$C$126</f>
        <v/>
      </c>
      <c r="E17" s="20" t="inlineStr">
        <is>
          <t>B03MYT9</t>
        </is>
      </c>
    </row>
    <row r="18">
      <c r="A18" s="41" t="n">
        <v>31177</v>
      </c>
      <c r="B18" s="2" t="inlineStr">
        <is>
          <t>GOLD FIELDS LTD COMMON STOCK ZAR 50</t>
        </is>
      </c>
      <c r="C18" s="33" t="n">
        <v>380621.71</v>
      </c>
      <c r="D18" s="19">
        <f>C18/$C$126</f>
        <v/>
      </c>
      <c r="E18" s="20" t="inlineStr">
        <is>
          <t>6280215</t>
        </is>
      </c>
    </row>
    <row r="19">
      <c r="A19" s="41" t="n">
        <v>47354</v>
      </c>
      <c r="B19" s="2" t="inlineStr">
        <is>
          <t>STANDARD BANK GROUP LTD COMMON STOCK ZAR 10</t>
        </is>
      </c>
      <c r="C19" s="33" t="n">
        <v>353922.71</v>
      </c>
      <c r="D19" s="19">
        <f>C19/$C$126</f>
        <v/>
      </c>
      <c r="E19" s="20" t="inlineStr">
        <is>
          <t>B030GJ7</t>
        </is>
      </c>
    </row>
    <row r="20">
      <c r="A20" s="41" t="n">
        <v>29624</v>
      </c>
      <c r="B20" s="2" t="inlineStr">
        <is>
          <t>POWSZECHNA KASA OSZCZEDNOSCI BANK POLSKI SA COMMON STOCK PLN 1</t>
        </is>
      </c>
      <c r="C20" s="18" t="n">
        <v>350694.69</v>
      </c>
      <c r="D20" s="19">
        <f>C20/$C$126</f>
        <v/>
      </c>
      <c r="E20" s="20" t="inlineStr">
        <is>
          <t>B03NGS5</t>
        </is>
      </c>
    </row>
    <row r="21">
      <c r="A21" s="41" t="n">
        <v>117376</v>
      </c>
      <c r="B21" s="2" t="inlineStr">
        <is>
          <t>QATAR NATIONAL BANK QPSC COMMON STOCK QAR 1</t>
        </is>
      </c>
      <c r="C21" s="18" t="n">
        <v>334982.28</v>
      </c>
      <c r="D21" s="19">
        <f>C21/$C$126</f>
        <v/>
      </c>
      <c r="E21" s="20" t="inlineStr">
        <is>
          <t>6148197</t>
        </is>
      </c>
    </row>
    <row r="22">
      <c r="A22" s="41" t="n">
        <v>2142</v>
      </c>
      <c r="B22" s="2" t="inlineStr">
        <is>
          <t>NASPERS LTD COMMON STOCK ZAR 2</t>
        </is>
      </c>
      <c r="C22" s="18" t="n">
        <v>333153.61</v>
      </c>
      <c r="D22" s="19">
        <f>C22/$C$126</f>
        <v/>
      </c>
      <c r="E22" s="20" t="inlineStr">
        <is>
          <t>BN0VX82</t>
        </is>
      </c>
    </row>
    <row r="23">
      <c r="A23" s="41" t="n">
        <v>200673</v>
      </c>
      <c r="B23" s="2" t="inlineStr">
        <is>
          <t>EMAAR PROPERTIES PJSC COMMON STOCK AED 1</t>
        </is>
      </c>
      <c r="C23" s="18" t="n">
        <v>328266.76</v>
      </c>
      <c r="D23" s="19">
        <f>C23/$C$126</f>
        <v/>
      </c>
      <c r="E23" s="20" t="inlineStr">
        <is>
          <t>B01RM25</t>
        </is>
      </c>
    </row>
    <row r="24">
      <c r="A24" s="41" t="n">
        <v>49901</v>
      </c>
      <c r="B24" s="2" t="inlineStr">
        <is>
          <t>ALINMA BANK COMMON STOCK SAR 10</t>
        </is>
      </c>
      <c r="C24" s="18" t="n">
        <v>319758.22</v>
      </c>
      <c r="D24" s="19">
        <f>C24/$C$126</f>
        <v/>
      </c>
      <c r="E24" s="20" t="inlineStr">
        <is>
          <t>B39NWT3</t>
        </is>
      </c>
    </row>
    <row r="25">
      <c r="A25" s="41" t="n">
        <v>94036</v>
      </c>
      <c r="B25" s="2" t="inlineStr">
        <is>
          <t>EMIRATES NBD BANK PJSC COMMON STOCK AED 1</t>
        </is>
      </c>
      <c r="C25" s="18" t="n">
        <v>312680.69</v>
      </c>
      <c r="D25" s="19">
        <f>C25/$C$126</f>
        <v/>
      </c>
      <c r="E25" s="20" t="inlineStr">
        <is>
          <t>B28PFX8</t>
        </is>
      </c>
    </row>
    <row r="26">
      <c r="A26" s="41" t="n">
        <v>22007</v>
      </c>
      <c r="B26" s="2" t="inlineStr">
        <is>
          <t>HALYK SAVINGS BANK OF KAZAKHSTAN JSC GDR USD</t>
        </is>
      </c>
      <c r="C26" s="18" t="n">
        <v>309052.12</v>
      </c>
      <c r="D26" s="19">
        <f>C26/$C$126</f>
        <v/>
      </c>
      <c r="E26" s="20" t="inlineStr">
        <is>
          <t>B1KDG41</t>
        </is>
      </c>
    </row>
    <row r="27">
      <c r="A27" s="41" t="n">
        <v>362649</v>
      </c>
      <c r="B27" s="2" t="inlineStr">
        <is>
          <t>LUKOIL PJSC COMMON STOCK RUB 0.025 RUB</t>
        </is>
      </c>
      <c r="C27" s="18" t="n">
        <v>162421.61</v>
      </c>
      <c r="D27" s="19">
        <f>C27/$C$126</f>
        <v/>
      </c>
      <c r="E27" s="20" t="inlineStr">
        <is>
          <t>2H6442S</t>
        </is>
      </c>
    </row>
    <row r="28">
      <c r="A28" s="41" t="n">
        <v>262047</v>
      </c>
      <c r="B28" s="2" t="inlineStr">
        <is>
          <t>LUKOIL PJSC COMMON STOCK RUB</t>
        </is>
      </c>
      <c r="C28" s="18" t="n">
        <v>128346.18</v>
      </c>
      <c r="D28" s="19">
        <f>C28/$C$126</f>
        <v/>
      </c>
      <c r="E28" s="20" t="inlineStr">
        <is>
          <t>0H5797S</t>
        </is>
      </c>
    </row>
    <row r="29">
      <c r="A29" s="28" t="n"/>
      <c r="B29" s="27" t="inlineStr">
        <is>
          <t>Subtotal</t>
        </is>
      </c>
      <c r="C29" s="29">
        <f>+C28+C27</f>
        <v/>
      </c>
      <c r="D29" s="31">
        <f>C29/$C$129</f>
        <v/>
      </c>
      <c r="E29" s="20" t="n"/>
    </row>
    <row r="30">
      <c r="A30" s="28" t="n">
        <v>9088</v>
      </c>
      <c r="B30" s="2" t="inlineStr">
        <is>
          <t>BANK POLSKA KASA OPIEKI SA COMMON STOCK PLN 1</t>
        </is>
      </c>
      <c r="C30" s="18" t="n">
        <v>289723.05</v>
      </c>
      <c r="D30" s="19">
        <f>C30/$C$126</f>
        <v/>
      </c>
      <c r="E30" s="20" t="inlineStr">
        <is>
          <t>5473113</t>
        </is>
      </c>
    </row>
    <row r="31">
      <c r="A31" s="28" t="n">
        <v>7639</v>
      </c>
      <c r="B31" s="2" t="inlineStr">
        <is>
          <t>OTP BANK NYRT COMMON STOCK HUF 100</t>
        </is>
      </c>
      <c r="C31" s="18" t="n">
        <v>289309.48</v>
      </c>
      <c r="D31" s="19">
        <f>C31/$C$126</f>
        <v/>
      </c>
      <c r="E31" s="20" t="inlineStr">
        <is>
          <t>7320154</t>
        </is>
      </c>
    </row>
    <row r="32">
      <c r="A32" s="28" t="n">
        <v>95185</v>
      </c>
      <c r="B32" s="2" t="inlineStr">
        <is>
          <t>SANLAM LTD COMMON STOCK ZAR 1</t>
        </is>
      </c>
      <c r="C32" s="18" t="n">
        <v>281252.55</v>
      </c>
      <c r="D32" s="19">
        <f>C32/$C$126</f>
        <v/>
      </c>
      <c r="E32" s="20" t="inlineStr">
        <is>
          <t>B0L6750</t>
        </is>
      </c>
    </row>
    <row r="33">
      <c r="A33" s="28" t="n">
        <v>14028</v>
      </c>
      <c r="B33" s="2" t="inlineStr">
        <is>
          <t>NOVA LJUBLJANSKA BANKA DD GDR EUR</t>
        </is>
      </c>
      <c r="C33" s="18" t="n">
        <v>275103.93</v>
      </c>
      <c r="D33" s="19">
        <f>C33/$C$126</f>
        <v/>
      </c>
      <c r="E33" s="20" t="inlineStr">
        <is>
          <t>BGRPD22</t>
        </is>
      </c>
    </row>
    <row r="34">
      <c r="A34" s="28" t="n">
        <v>8205</v>
      </c>
      <c r="B34" s="2" t="inlineStr">
        <is>
          <t>NAC KAZATOMPROM JSC GDR USD</t>
        </is>
      </c>
      <c r="C34" s="18" t="n">
        <v>264864.51</v>
      </c>
      <c r="D34" s="19">
        <f>C34/$C$126</f>
        <v/>
      </c>
      <c r="E34" s="20" t="inlineStr">
        <is>
          <t>BGXQL36</t>
        </is>
      </c>
    </row>
    <row r="35">
      <c r="A35" s="28" t="n">
        <v>148768</v>
      </c>
      <c r="B35" s="2" t="inlineStr">
        <is>
          <t>ABU DHABI COMMERCIAL BANK PJSC COMMON STOCK AED 1</t>
        </is>
      </c>
      <c r="C35" s="18" t="n">
        <v>248130.79</v>
      </c>
      <c r="D35" s="19">
        <f>C35/$C$126</f>
        <v/>
      </c>
      <c r="E35" s="20" t="inlineStr">
        <is>
          <t>6545464</t>
        </is>
      </c>
    </row>
    <row r="36">
      <c r="A36" s="28" t="n">
        <v>71</v>
      </c>
      <c r="B36" s="2" t="inlineStr">
        <is>
          <t>LPP SA COMMON STOCK PLN 2</t>
        </is>
      </c>
      <c r="C36" s="18" t="n">
        <v>245609.63</v>
      </c>
      <c r="D36" s="19">
        <f>C36/$C$126</f>
        <v/>
      </c>
      <c r="E36" s="20" t="inlineStr">
        <is>
          <t>7127979</t>
        </is>
      </c>
    </row>
    <row r="37">
      <c r="A37" s="28" t="n">
        <v>2401</v>
      </c>
      <c r="B37" s="2" t="inlineStr">
        <is>
          <t>JSC KASPI.KZ GDR-REG S</t>
        </is>
      </c>
      <c r="C37" s="18" t="n">
        <v>237045</v>
      </c>
      <c r="D37" s="19">
        <f>C37/$C$126</f>
        <v/>
      </c>
      <c r="E37" s="20" t="inlineStr">
        <is>
          <t>BJY21K1</t>
        </is>
      </c>
    </row>
    <row r="38">
      <c r="A38" s="28" t="n">
        <v>98209</v>
      </c>
      <c r="B38" s="2" t="inlineStr">
        <is>
          <t>ABU DHABI ISLAMIC BANK PJSC COMMON STOCK AED 1</t>
        </is>
      </c>
      <c r="C38" s="18" t="n">
        <v>234364.6</v>
      </c>
      <c r="D38" s="19">
        <f>C38/$C$126</f>
        <v/>
      </c>
      <c r="E38" s="20" t="inlineStr">
        <is>
          <t>6001728</t>
        </is>
      </c>
    </row>
    <row r="39">
      <c r="A39" s="28" t="n">
        <v>44928</v>
      </c>
      <c r="B39" s="2" t="inlineStr">
        <is>
          <t>RIYAD BANK COMMON STOCK SAR 10</t>
        </is>
      </c>
      <c r="C39" s="18" t="n">
        <v>229560.92</v>
      </c>
      <c r="D39" s="19">
        <f>C39/$C$126</f>
        <v/>
      </c>
      <c r="E39" s="20" t="inlineStr">
        <is>
          <t>B12LZW4</t>
        </is>
      </c>
    </row>
    <row r="40">
      <c r="A40" s="28" t="n">
        <v>355644</v>
      </c>
      <c r="B40" s="2" t="inlineStr">
        <is>
          <t>ADNOC GAS PLC</t>
        </is>
      </c>
      <c r="C40" s="18" t="n">
        <v>226625.24</v>
      </c>
      <c r="D40" s="19">
        <f>C40/$C$126</f>
        <v/>
      </c>
      <c r="E40" s="20" t="inlineStr">
        <is>
          <t>BPJLW35</t>
        </is>
      </c>
    </row>
    <row r="41">
      <c r="A41" s="28" t="n">
        <v>8860909</v>
      </c>
      <c r="B41" s="2" t="inlineStr">
        <is>
          <t>GAZPROM PJSC COMMON STOCK RUB</t>
        </is>
      </c>
      <c r="C41" s="18" t="n">
        <v>200426.91</v>
      </c>
      <c r="D41" s="19">
        <f>C41/$C$126</f>
        <v/>
      </c>
      <c r="E41" s="20" t="inlineStr">
        <is>
          <t>0H5796S</t>
        </is>
      </c>
    </row>
    <row r="42">
      <c r="A42" s="28" t="n">
        <v>5365084</v>
      </c>
      <c r="B42" s="2" t="inlineStr">
        <is>
          <t>GAZPROM PJSC ADR</t>
        </is>
      </c>
      <c r="C42" s="18" t="n">
        <v>24499.37</v>
      </c>
      <c r="D42" s="19">
        <f>C42/$C$126</f>
        <v/>
      </c>
      <c r="E42" s="20" t="inlineStr">
        <is>
          <t>0H6364S</t>
        </is>
      </c>
    </row>
    <row r="43">
      <c r="A43" s="28" t="n"/>
      <c r="B43" s="27" t="inlineStr">
        <is>
          <t>Subtotal</t>
        </is>
      </c>
      <c r="C43" s="29">
        <f>+C42+C41</f>
        <v/>
      </c>
      <c r="D43" s="31">
        <f>C43/$C$129</f>
        <v/>
      </c>
      <c r="E43" s="38" t="n"/>
    </row>
    <row r="44">
      <c r="A44" s="41" t="n">
        <v>11178</v>
      </c>
      <c r="B44" s="2" t="inlineStr">
        <is>
          <t>RICHTER GEDEON NYRT COMMON STOCK HUF 100</t>
        </is>
      </c>
      <c r="C44" s="18" t="n">
        <v>222971.78</v>
      </c>
      <c r="D44" s="19">
        <f>C44/$C$126</f>
        <v/>
      </c>
      <c r="E44" s="38" t="inlineStr">
        <is>
          <t>BC9ZH86</t>
        </is>
      </c>
    </row>
    <row r="45">
      <c r="A45" s="41" t="n">
        <v>31227</v>
      </c>
      <c r="B45" s="2" t="inlineStr">
        <is>
          <t>HARMONY GOLD MINING CO LTD COMMON STOCK ZAR 50</t>
        </is>
      </c>
      <c r="C45" s="18" t="n">
        <v>222303.99</v>
      </c>
      <c r="D45" s="19">
        <f>C45/$C$126</f>
        <v/>
      </c>
      <c r="E45" s="38" t="inlineStr">
        <is>
          <t>6410562</t>
        </is>
      </c>
    </row>
    <row r="46">
      <c r="A46" s="41" t="n">
        <v>35367</v>
      </c>
      <c r="B46" s="2" t="inlineStr">
        <is>
          <t>ABSA GROUP LTD</t>
        </is>
      </c>
      <c r="C46" s="18" t="n">
        <v>219996.46</v>
      </c>
      <c r="D46" s="19">
        <f>C46/$C$126</f>
        <v/>
      </c>
      <c r="E46" s="38" t="inlineStr">
        <is>
          <t>BFX05H3</t>
        </is>
      </c>
    </row>
    <row r="47">
      <c r="A47" s="41" t="n">
        <v>127190</v>
      </c>
      <c r="B47" s="2" t="inlineStr">
        <is>
          <t>EUROBANK ERGASIAS SERVICES AND HOLDINGS SA COMMON STOCK EUR 0.22</t>
        </is>
      </c>
      <c r="C47" s="18" t="n">
        <v>217657.45</v>
      </c>
      <c r="D47" s="19">
        <f>C47/$C$126</f>
        <v/>
      </c>
      <c r="E47" s="38" t="inlineStr">
        <is>
          <t>BYZ43T4</t>
        </is>
      </c>
    </row>
    <row r="48">
      <c r="A48" s="41" t="n">
        <v>250715</v>
      </c>
      <c r="B48" s="2" t="inlineStr">
        <is>
          <t>ADNOC DRILLING CO PJSC COMMON STOCK AED</t>
        </is>
      </c>
      <c r="C48" s="18" t="n">
        <v>213909.34</v>
      </c>
      <c r="D48" s="19">
        <f>C48/$C$126</f>
        <v/>
      </c>
      <c r="E48" s="38" t="inlineStr">
        <is>
          <t>BN12D39</t>
        </is>
      </c>
    </row>
    <row r="49">
      <c r="A49" s="41" t="n">
        <v>14455036</v>
      </c>
      <c r="B49" s="2" t="inlineStr">
        <is>
          <t>SBERBANK OF RUSSIA PJSC PREFERENCE RUB 3</t>
        </is>
      </c>
      <c r="C49" s="18" t="n">
        <v>180365.97</v>
      </c>
      <c r="D49" s="19">
        <f>C49/$C$126</f>
        <v/>
      </c>
      <c r="E49" s="38" t="inlineStr">
        <is>
          <t>0H5856S</t>
        </is>
      </c>
    </row>
    <row r="50">
      <c r="A50" s="41" t="n">
        <v>2355925</v>
      </c>
      <c r="B50" s="2" t="inlineStr">
        <is>
          <t>SBERBANK OF RUSSIA PJSC</t>
        </is>
      </c>
      <c r="C50" s="18" t="n">
        <v>29184.13</v>
      </c>
      <c r="D50" s="19">
        <f>C50/$C$126</f>
        <v/>
      </c>
      <c r="E50" s="38" t="inlineStr">
        <is>
          <t>0H5855S</t>
        </is>
      </c>
    </row>
    <row r="51">
      <c r="A51" s="41" t="n"/>
      <c r="B51" s="27" t="inlineStr">
        <is>
          <t>Subtotal</t>
        </is>
      </c>
      <c r="C51" s="29">
        <f>+C50+C49</f>
        <v/>
      </c>
      <c r="D51" s="31">
        <f>C51/$C$129</f>
        <v/>
      </c>
      <c r="E51" s="38" t="n"/>
    </row>
    <row r="52">
      <c r="A52" s="28" t="n">
        <v>19991</v>
      </c>
      <c r="B52" s="2" t="inlineStr">
        <is>
          <t>SHOPRITE HOLDINGS LTD COMMON STOCK ZAR 113.4</t>
        </is>
      </c>
      <c r="C52" s="18" t="n">
        <v>208231.48</v>
      </c>
      <c r="D52" s="19">
        <f>C52/$C$126</f>
        <v/>
      </c>
      <c r="E52" s="38" t="inlineStr">
        <is>
          <t>6801575</t>
        </is>
      </c>
    </row>
    <row r="53">
      <c r="A53" s="28" t="n">
        <v>9203</v>
      </c>
      <c r="B53" s="2" t="inlineStr">
        <is>
          <t>MOTOR OIL HELLAS CORINTH REFINERIES SA COMMON STOCK EUR 0.75</t>
        </is>
      </c>
      <c r="C53" s="18" t="n">
        <v>204335.4</v>
      </c>
      <c r="D53" s="19">
        <f>C53/$C$126</f>
        <v/>
      </c>
      <c r="E53" s="38" t="inlineStr">
        <is>
          <t>5996234</t>
        </is>
      </c>
    </row>
    <row r="54">
      <c r="A54" s="28" t="n">
        <v>172191</v>
      </c>
      <c r="B54" s="2" t="inlineStr">
        <is>
          <t>ALDAR PROPERTIES PJSC COMMON STOCK AED 1</t>
        </is>
      </c>
      <c r="C54" s="18" t="n">
        <v>202511.49</v>
      </c>
      <c r="D54" s="19">
        <f>C54/$C$126</f>
        <v/>
      </c>
      <c r="E54" s="38" t="inlineStr">
        <is>
          <t>B0LX3Y2</t>
        </is>
      </c>
    </row>
    <row r="55">
      <c r="A55" s="28" t="n">
        <v>36992</v>
      </c>
      <c r="B55" s="2" t="inlineStr">
        <is>
          <t>BANCA TRANSILVANIA SA COMMON STOCK RON 1</t>
        </is>
      </c>
      <c r="C55" s="18" t="n">
        <v>197116.16</v>
      </c>
      <c r="D55" s="19">
        <f>C55/$C$126</f>
        <v/>
      </c>
      <c r="E55" s="38" t="inlineStr">
        <is>
          <t>5393307</t>
        </is>
      </c>
    </row>
    <row r="56">
      <c r="A56" s="28" t="n">
        <v>105392</v>
      </c>
      <c r="B56" s="2" t="inlineStr">
        <is>
          <t>TURKIYE SIGORTA AS COMMON STOCK TRY 1</t>
        </is>
      </c>
      <c r="C56" s="18" t="n">
        <v>194290.78</v>
      </c>
      <c r="D56" s="19">
        <f>C56/$C$126</f>
        <v/>
      </c>
      <c r="E56" s="38" t="inlineStr">
        <is>
          <t>B03MTD8</t>
        </is>
      </c>
    </row>
    <row r="57">
      <c r="A57" s="28" t="n">
        <v>7008</v>
      </c>
      <c r="B57" s="2" t="inlineStr">
        <is>
          <t>SAUDI ARAMCO BASE OIL CO COMMON STOCK SAR 10</t>
        </is>
      </c>
      <c r="C57" s="18" t="n">
        <v>191071.59</v>
      </c>
      <c r="D57" s="19">
        <f>C57/$C$126</f>
        <v/>
      </c>
      <c r="E57" s="38" t="inlineStr">
        <is>
          <t>BMDKMB5</t>
        </is>
      </c>
    </row>
    <row r="58">
      <c r="A58" s="28" t="n">
        <v>28042</v>
      </c>
      <c r="B58" s="2" t="inlineStr">
        <is>
          <t>NATIONAL BANK OF GREECE SA COMMON STOCK EUR 1</t>
        </is>
      </c>
      <c r="C58" s="18" t="n">
        <v>190755.13</v>
      </c>
      <c r="D58" s="19">
        <f>C58/$C$126</f>
        <v/>
      </c>
      <c r="E58" s="38" t="inlineStr">
        <is>
          <t>BG087C6</t>
        </is>
      </c>
    </row>
    <row r="59">
      <c r="A59" s="28" t="n">
        <v>30929</v>
      </c>
      <c r="B59" s="2" t="inlineStr">
        <is>
          <t>MOL HUNGARIAN OIL &amp; GAS PLC COMMON STOCK HUF 125</t>
        </is>
      </c>
      <c r="C59" s="18" t="n">
        <v>189311.43</v>
      </c>
      <c r="D59" s="19">
        <f>C59/$C$126</f>
        <v/>
      </c>
      <c r="E59" s="38" t="inlineStr">
        <is>
          <t>BD5ZXH8</t>
        </is>
      </c>
    </row>
    <row r="60">
      <c r="A60" s="41" t="n">
        <v>7421</v>
      </c>
      <c r="B60" s="2" t="inlineStr">
        <is>
          <t>TBC BANK GROUP PLC COMMON STOCK GBP 1</t>
        </is>
      </c>
      <c r="C60" s="33" t="n">
        <v>188864.45</v>
      </c>
      <c r="D60" s="19">
        <f>C60/$C$126</f>
        <v/>
      </c>
      <c r="E60" s="38" t="inlineStr">
        <is>
          <t>BYT1830</t>
        </is>
      </c>
    </row>
    <row r="61">
      <c r="A61" s="28" t="n">
        <v>4537</v>
      </c>
      <c r="B61" s="2" t="inlineStr">
        <is>
          <t>LEEJAM SPORTS CO JSC COMMON STOCK SAR 10</t>
        </is>
      </c>
      <c r="C61" s="18" t="n">
        <v>187165.61</v>
      </c>
      <c r="D61" s="19">
        <f>C61/$C$126</f>
        <v/>
      </c>
      <c r="E61" s="38" t="inlineStr">
        <is>
          <t>BF12ZV5</t>
        </is>
      </c>
    </row>
    <row r="62">
      <c r="A62" s="28" t="n">
        <v>24635</v>
      </c>
      <c r="B62" s="2" t="inlineStr">
        <is>
          <t>SAUDI TELECOM CO COMMON STOCK</t>
        </is>
      </c>
      <c r="C62" s="18" t="n">
        <v>185714.62</v>
      </c>
      <c r="D62" s="19">
        <f>C62/$C$126</f>
        <v/>
      </c>
      <c r="E62" s="38" t="inlineStr">
        <is>
          <t>B12M7Q5</t>
        </is>
      </c>
    </row>
    <row r="63">
      <c r="A63" s="28" t="n">
        <v>4992</v>
      </c>
      <c r="B63" s="2" t="inlineStr">
        <is>
          <t>BANK OF GEORGIA GROUP PLC COMMON STOCK GBP 1</t>
        </is>
      </c>
      <c r="C63" s="18" t="n">
        <v>184953.6</v>
      </c>
      <c r="D63" s="19">
        <f>C63/$C$126</f>
        <v/>
      </c>
      <c r="E63" s="38" t="inlineStr">
        <is>
          <t>BF4HYT8</t>
        </is>
      </c>
    </row>
    <row r="64">
      <c r="A64" s="28" t="n">
        <v>8071</v>
      </c>
      <c r="B64" s="2" t="inlineStr">
        <is>
          <t>JUMBO SA COMMON STOCK EUR 0.88</t>
        </is>
      </c>
      <c r="C64" s="18" t="n">
        <v>181678.89</v>
      </c>
      <c r="D64" s="19">
        <f>C64/$C$126</f>
        <v/>
      </c>
      <c r="E64" s="38" t="inlineStr">
        <is>
          <t>7243530</t>
        </is>
      </c>
    </row>
    <row r="65">
      <c r="A65" s="28" t="n">
        <v>111134</v>
      </c>
      <c r="B65" s="2" t="inlineStr">
        <is>
          <t>AKBANK TAS COMMON STOCK TRY 1</t>
        </is>
      </c>
      <c r="C65" s="18" t="n">
        <v>179673.17</v>
      </c>
      <c r="D65" s="19">
        <f>C65/$C$126</f>
        <v/>
      </c>
      <c r="E65" s="38" t="inlineStr">
        <is>
          <t>B03MN70</t>
        </is>
      </c>
    </row>
    <row r="66">
      <c r="A66" s="28" t="n">
        <v>15181</v>
      </c>
      <c r="B66" s="2" t="inlineStr">
        <is>
          <t>BIM BIRLESIK MAGAZALAR AS COMMON STOCK TRY 1</t>
        </is>
      </c>
      <c r="C66" s="18" t="n">
        <v>177690.57</v>
      </c>
      <c r="D66" s="19">
        <f>C66/$C$126</f>
        <v/>
      </c>
      <c r="E66" s="38" t="inlineStr">
        <is>
          <t>B0D0006</t>
        </is>
      </c>
    </row>
    <row r="67">
      <c r="A67" s="28" t="n">
        <v>361140</v>
      </c>
      <c r="B67" s="2" t="inlineStr">
        <is>
          <t>DUBAI ELECTRICITY &amp; WATER AU</t>
        </is>
      </c>
      <c r="C67" s="18" t="n">
        <v>176070.65</v>
      </c>
      <c r="D67" s="19">
        <f>C67/$C$126</f>
        <v/>
      </c>
      <c r="E67" s="38" t="inlineStr">
        <is>
          <t>BJLTVJ4</t>
        </is>
      </c>
    </row>
    <row r="68">
      <c r="A68" s="28" t="n">
        <v>5598</v>
      </c>
      <c r="B68" s="2" t="inlineStr">
        <is>
          <t>METLEN ENERGY &amp; METALS SA COMMON STOCK EUR 0.97</t>
        </is>
      </c>
      <c r="C68" s="18" t="n">
        <v>174793.16</v>
      </c>
      <c r="D68" s="19">
        <f>C68/$C$126</f>
        <v/>
      </c>
      <c r="E68" s="38" t="inlineStr">
        <is>
          <t>5898664</t>
        </is>
      </c>
    </row>
    <row r="69">
      <c r="A69" s="28" t="n">
        <v>1892</v>
      </c>
      <c r="B69" s="2" t="inlineStr">
        <is>
          <t>KRUK SA COMMON STOCK PLN 1</t>
        </is>
      </c>
      <c r="C69" s="18" t="n">
        <v>172117.06</v>
      </c>
      <c r="D69" s="19">
        <f>C69/$C$126</f>
        <v/>
      </c>
      <c r="E69" s="38" t="inlineStr">
        <is>
          <t>B4PTLY0</t>
        </is>
      </c>
    </row>
    <row r="70">
      <c r="A70" s="28" t="n">
        <v>144384</v>
      </c>
      <c r="B70" s="2" t="inlineStr">
        <is>
          <t>DUBAI ISLAMIC BANK PJSC COMMON STOCK AED 1</t>
        </is>
      </c>
      <c r="C70" s="18" t="n">
        <v>170425.54</v>
      </c>
      <c r="D70" s="19">
        <f>C70/$C$126</f>
        <v/>
      </c>
      <c r="E70" s="38" t="inlineStr">
        <is>
          <t>6283452</t>
        </is>
      </c>
    </row>
    <row r="71">
      <c r="A71" s="28" t="n">
        <v>22901</v>
      </c>
      <c r="B71" s="2" t="inlineStr">
        <is>
          <t>TURK HAVA YOLLARI AO COMMON STOCK TRY 1</t>
        </is>
      </c>
      <c r="C71" s="18" t="n">
        <v>169067.98</v>
      </c>
      <c r="D71" s="19">
        <f>C71/$C$126</f>
        <v/>
      </c>
      <c r="E71" s="38" t="inlineStr">
        <is>
          <t>B03MYK0</t>
        </is>
      </c>
    </row>
    <row r="72">
      <c r="A72" s="28" t="n">
        <v>196322</v>
      </c>
      <c r="B72" s="2" t="inlineStr">
        <is>
          <t>QATAR GAS TRANSPORT CO LTD COMMON STOCK QAR 1</t>
        </is>
      </c>
      <c r="C72" s="18" t="n">
        <v>167790.02</v>
      </c>
      <c r="D72" s="19">
        <f>C72/$C$126</f>
        <v/>
      </c>
      <c r="E72" s="38" t="inlineStr">
        <is>
          <t>B0MLBC9</t>
        </is>
      </c>
    </row>
    <row r="73">
      <c r="A73" s="28" t="n">
        <v>20423</v>
      </c>
      <c r="B73" s="2" t="inlineStr">
        <is>
          <t>SAUDI AWWAL BANK COMMON STOCK SAR 10</t>
        </is>
      </c>
      <c r="C73" s="18" t="n">
        <v>161659.93</v>
      </c>
      <c r="D73" s="19">
        <f>C73/$C$126</f>
        <v/>
      </c>
      <c r="E73" s="38" t="inlineStr">
        <is>
          <t>B12LSY7</t>
        </is>
      </c>
    </row>
    <row r="74">
      <c r="A74" s="28" t="n">
        <v>8057</v>
      </c>
      <c r="B74" s="2" t="inlineStr">
        <is>
          <t>RIYADH CABLES GROUP CO COMMON STOCK SAR 10</t>
        </is>
      </c>
      <c r="C74" s="18" t="n">
        <v>161464.23</v>
      </c>
      <c r="D74" s="19">
        <f>C74/$C$126</f>
        <v/>
      </c>
      <c r="E74" s="38" t="inlineStr">
        <is>
          <t>BNBPXW7</t>
        </is>
      </c>
    </row>
    <row r="75">
      <c r="A75" s="28" t="n">
        <v>74864</v>
      </c>
      <c r="B75" s="2" t="inlineStr">
        <is>
          <t>MAGYAR TELEKOM TELECOMMUNICATIONS PLC COMMON STOCK HUF 100</t>
        </is>
      </c>
      <c r="C75" s="18" t="n">
        <v>161198.94</v>
      </c>
      <c r="D75" s="19">
        <f>C75/$C$126</f>
        <v/>
      </c>
      <c r="E75" s="38" t="inlineStr">
        <is>
          <t>4577469</t>
        </is>
      </c>
    </row>
    <row r="76">
      <c r="A76" s="28" t="n">
        <v>1268490</v>
      </c>
      <c r="B76" s="2" t="inlineStr">
        <is>
          <t>NOVATEK PJSC COMMON STOCK RUB 0.1</t>
        </is>
      </c>
      <c r="C76" s="18" t="n">
        <v>139895.49</v>
      </c>
      <c r="D76" s="19">
        <f>C76/$C$126</f>
        <v/>
      </c>
      <c r="E76" s="38" t="inlineStr">
        <is>
          <t>2H6464S</t>
        </is>
      </c>
    </row>
    <row r="77">
      <c r="A77" s="28" t="n">
        <v>103572</v>
      </c>
      <c r="B77" s="2" t="inlineStr">
        <is>
          <t>NOVATEK PJSC COMMON STOCK RUB 0.1</t>
        </is>
      </c>
      <c r="C77" s="18" t="n">
        <v>12491.23</v>
      </c>
      <c r="D77" s="19">
        <f>C77/$C$126</f>
        <v/>
      </c>
      <c r="E77" s="38" t="inlineStr">
        <is>
          <t>0H5828S</t>
        </is>
      </c>
    </row>
    <row r="78">
      <c r="A78" s="28" t="n"/>
      <c r="B78" s="27" t="inlineStr">
        <is>
          <t>Subtotal</t>
        </is>
      </c>
      <c r="C78" s="29">
        <f>+C77+C76</f>
        <v/>
      </c>
      <c r="D78" s="31">
        <f>C78/$C$129</f>
        <v/>
      </c>
      <c r="E78" s="38" t="n"/>
    </row>
    <row r="79">
      <c r="A79" s="28" t="n">
        <v>9725</v>
      </c>
      <c r="B79" s="2" t="inlineStr">
        <is>
          <t>UNITED INTERNATIONAL TRANSPORTATION CO COMMON STOCK SAR 10</t>
        </is>
      </c>
      <c r="C79" s="18" t="n">
        <v>151717.93</v>
      </c>
      <c r="D79" s="19">
        <f>C79/$C$126</f>
        <v/>
      </c>
      <c r="E79" s="38" t="inlineStr">
        <is>
          <t>B2493D0</t>
        </is>
      </c>
    </row>
    <row r="80">
      <c r="A80" s="28" t="n">
        <v>5652</v>
      </c>
      <c r="B80" s="2" t="inlineStr">
        <is>
          <t>KOMERCNI BANKA AS COMMON STOCK CZK 100</t>
        </is>
      </c>
      <c r="C80" s="18" t="n">
        <v>150975.23</v>
      </c>
      <c r="D80" s="19">
        <f>C80/$C$126</f>
        <v/>
      </c>
      <c r="E80" s="38" t="inlineStr">
        <is>
          <t>4519449</t>
        </is>
      </c>
    </row>
    <row r="81">
      <c r="A81" s="28" t="n">
        <v>48227</v>
      </c>
      <c r="B81" s="2" t="inlineStr">
        <is>
          <t>PIRAEUS FINANCIAL HOLDINGS SA COMMON STOCK EUR 0.93</t>
        </is>
      </c>
      <c r="C81" s="18" t="n">
        <v>148487.86</v>
      </c>
      <c r="D81" s="19">
        <f>C81/$C$126</f>
        <v/>
      </c>
      <c r="E81" s="38" t="inlineStr">
        <is>
          <t>BNC0DB0</t>
        </is>
      </c>
    </row>
    <row r="82">
      <c r="A82" s="28" t="n">
        <v>39150</v>
      </c>
      <c r="B82" s="2" t="inlineStr">
        <is>
          <t>ADES HOLDING CO COMMON STOCK SAR 1</t>
        </is>
      </c>
      <c r="C82" s="18" t="n">
        <v>147896.99</v>
      </c>
      <c r="D82" s="19">
        <f>C82/$C$126</f>
        <v/>
      </c>
      <c r="E82" s="38" t="inlineStr">
        <is>
          <t>BR56KM3</t>
        </is>
      </c>
    </row>
    <row r="83">
      <c r="A83" s="41" t="n">
        <v>4593</v>
      </c>
      <c r="B83" s="2" t="inlineStr">
        <is>
          <t>ALKHORAYEF WATER &amp; POWER TECHNOLOGIES CO COMMON STOCK SAR 10</t>
        </is>
      </c>
      <c r="C83" s="33" t="n">
        <v>147541.04</v>
      </c>
      <c r="D83" s="19">
        <f>C83/$C$126</f>
        <v/>
      </c>
      <c r="E83" s="38" t="inlineStr">
        <is>
          <t>BN33QN1</t>
        </is>
      </c>
    </row>
    <row r="84">
      <c r="A84" s="28" t="n">
        <v>14151</v>
      </c>
      <c r="B84" s="2" t="inlineStr">
        <is>
          <t>BIDVEST GROUP LTD/THE COMMON STOCK ZAR 5</t>
        </is>
      </c>
      <c r="C84" s="18" t="n">
        <v>144997.85</v>
      </c>
      <c r="D84" s="19">
        <f>C84/$C$126</f>
        <v/>
      </c>
      <c r="E84" s="38" t="inlineStr">
        <is>
          <t>6100089</t>
        </is>
      </c>
    </row>
    <row r="85">
      <c r="A85" s="28" t="n">
        <v>12548</v>
      </c>
      <c r="B85" s="2" t="inlineStr">
        <is>
          <t>HELLENIC TELECOMMUNICATIONS ORGANIZATION SA COMMON STOCK EUR 2.83</t>
        </is>
      </c>
      <c r="C85" s="18" t="n">
        <v>143796.06</v>
      </c>
      <c r="D85" s="19">
        <f>C85/$C$126</f>
        <v/>
      </c>
      <c r="E85" s="38" t="inlineStr">
        <is>
          <t>5051605</t>
        </is>
      </c>
    </row>
    <row r="86">
      <c r="A86" s="28" t="n">
        <v>11541</v>
      </c>
      <c r="B86" s="2" t="inlineStr">
        <is>
          <t>CLICKS GROUP LTD COMMON STOCK ZAR 1</t>
        </is>
      </c>
      <c r="C86" s="18" t="n">
        <v>142394.62</v>
      </c>
      <c r="D86" s="19">
        <f>C86/$C$126</f>
        <v/>
      </c>
      <c r="E86" s="38" t="inlineStr">
        <is>
          <t>6105578</t>
        </is>
      </c>
    </row>
    <row r="87">
      <c r="A87" s="28" t="n">
        <v>11282</v>
      </c>
      <c r="B87" s="2" t="inlineStr">
        <is>
          <t>OPAP SA COMMON STOCK EUR 0.3</t>
        </is>
      </c>
      <c r="C87" s="18" t="n">
        <v>140927.88</v>
      </c>
      <c r="D87" s="19">
        <f>C87/$C$126</f>
        <v/>
      </c>
      <c r="E87" s="38" t="inlineStr">
        <is>
          <t>7107250</t>
        </is>
      </c>
    </row>
    <row r="88">
      <c r="A88" s="28" t="n">
        <v>105464</v>
      </c>
      <c r="B88" s="2" t="inlineStr">
        <is>
          <t>ALPHA SERVICES AND HOLDINGS SA COMMON STOCK EUR 0.29</t>
        </is>
      </c>
      <c r="C88" s="18" t="n">
        <v>139472.71</v>
      </c>
      <c r="D88" s="19">
        <f>C88/$C$126</f>
        <v/>
      </c>
      <c r="E88" s="38" t="inlineStr">
        <is>
          <t>BZ1MXR7</t>
        </is>
      </c>
    </row>
    <row r="89">
      <c r="A89" s="28" t="n">
        <v>31957</v>
      </c>
      <c r="B89" s="2" t="inlineStr">
        <is>
          <t>ARABIAN CENTRES CO COMMON STOCK SAR 10</t>
        </is>
      </c>
      <c r="C89" s="18" t="n">
        <v>137721.71</v>
      </c>
      <c r="D89" s="19">
        <f>C89/$C$126</f>
        <v/>
      </c>
      <c r="E89" s="38" t="inlineStr">
        <is>
          <t>BKBF694</t>
        </is>
      </c>
    </row>
    <row r="90">
      <c r="A90" s="28" t="n">
        <v>234111</v>
      </c>
      <c r="B90" s="2" t="inlineStr">
        <is>
          <t>TECOM GROUP PJSC COMMON STOCK AED</t>
        </is>
      </c>
      <c r="C90" s="18" t="n">
        <v>137667.38</v>
      </c>
      <c r="D90" s="19">
        <f>C90/$C$126</f>
        <v/>
      </c>
      <c r="E90" s="38" t="inlineStr">
        <is>
          <t>BLDC8Q1</t>
        </is>
      </c>
    </row>
    <row r="91">
      <c r="A91" s="28" t="n">
        <v>7119200</v>
      </c>
      <c r="B91" s="2" t="inlineStr">
        <is>
          <t>MMC NORILSK NICKEL PJSC COMMON STOCK RUB 1</t>
        </is>
      </c>
      <c r="C91" s="18" t="n">
        <v>134965.31</v>
      </c>
      <c r="D91" s="19">
        <f>C91/$C$126</f>
        <v/>
      </c>
      <c r="E91" s="38" t="inlineStr">
        <is>
          <t>0H5804S</t>
        </is>
      </c>
    </row>
    <row r="92">
      <c r="A92" s="28" t="n">
        <v>187852</v>
      </c>
      <c r="B92" s="2" t="inlineStr">
        <is>
          <t>SALIK CO PJSC COMMON STOCK AED 0.01</t>
        </is>
      </c>
      <c r="C92" s="18" t="n">
        <v>133361.49</v>
      </c>
      <c r="D92" s="19">
        <f>C92/$C$126</f>
        <v/>
      </c>
      <c r="E92" s="38" t="inlineStr">
        <is>
          <t>BJN5952</t>
        </is>
      </c>
    </row>
    <row r="93">
      <c r="A93" s="28" t="n">
        <v>279893</v>
      </c>
      <c r="B93" s="2" t="inlineStr">
        <is>
          <t>DUBAI TAXI CO PJSC COMMON STOCK AED 0.04</t>
        </is>
      </c>
      <c r="C93" s="18" t="n">
        <v>130474.32</v>
      </c>
      <c r="D93" s="19">
        <f>C93/$C$126</f>
        <v/>
      </c>
      <c r="E93" s="38" t="inlineStr">
        <is>
          <t>BQ7VXK8</t>
        </is>
      </c>
    </row>
    <row r="94">
      <c r="A94" s="28" t="n">
        <v>7428</v>
      </c>
      <c r="B94" s="2" t="inlineStr">
        <is>
          <t>BID CORP LTD COMMON STOCK ZAR</t>
        </is>
      </c>
      <c r="C94" s="18" t="n">
        <v>128857.25</v>
      </c>
      <c r="D94" s="19">
        <f>C94/$C$126</f>
        <v/>
      </c>
      <c r="E94" s="38" t="inlineStr">
        <is>
          <t>BZBFKT7</t>
        </is>
      </c>
    </row>
    <row r="95">
      <c r="A95" s="28" t="n">
        <v>764</v>
      </c>
      <c r="B95" s="2" t="inlineStr">
        <is>
          <t>ELM CO COMMON STOCK SAR 10</t>
        </is>
      </c>
      <c r="C95" s="18" t="n">
        <v>127477.55</v>
      </c>
      <c r="D95" s="19">
        <f>C95/$C$126</f>
        <v/>
      </c>
      <c r="E95" s="38" t="inlineStr">
        <is>
          <t>BNYDSH8</t>
        </is>
      </c>
    </row>
    <row r="96">
      <c r="A96" s="28" t="n">
        <v>60427</v>
      </c>
      <c r="B96" s="2" t="inlineStr">
        <is>
          <t>OOREDOO QPSC COMMON STOCK QAR 1</t>
        </is>
      </c>
      <c r="C96" s="18" t="n">
        <v>121930.14</v>
      </c>
      <c r="D96" s="19">
        <f>C96/$C$126</f>
        <v/>
      </c>
      <c r="E96" s="38" t="inlineStr">
        <is>
          <t>6158174</t>
        </is>
      </c>
    </row>
    <row r="97">
      <c r="A97" s="28" t="n">
        <v>2526</v>
      </c>
      <c r="B97" s="2" t="inlineStr">
        <is>
          <t>BUPA ARABIA FOR COOPERATIVE INSURANCE CO COMMON STOCK SAR 10</t>
        </is>
      </c>
      <c r="C97" s="18" t="n">
        <v>121343.86</v>
      </c>
      <c r="D97" s="19">
        <f>C97/$C$126</f>
        <v/>
      </c>
      <c r="E97" s="38" t="inlineStr">
        <is>
          <t>B2RLCR0</t>
        </is>
      </c>
    </row>
    <row r="98">
      <c r="A98" s="28" t="n">
        <v>133931</v>
      </c>
      <c r="B98" s="2" t="inlineStr">
        <is>
          <t>ADNOC LOGISTICS &amp; SERVICES COMMON STOCK AED</t>
        </is>
      </c>
      <c r="C98" s="18" t="n">
        <v>116274.28</v>
      </c>
      <c r="D98" s="19">
        <f>C98/$C$126</f>
        <v/>
      </c>
      <c r="E98" s="38" t="inlineStr">
        <is>
          <t>BRBN103</t>
        </is>
      </c>
    </row>
    <row r="99">
      <c r="A99" s="28" t="n">
        <v>30065</v>
      </c>
      <c r="B99" s="2" t="inlineStr">
        <is>
          <t>MOTUS HOLDINGS LTD COMMON STOCK ZAR</t>
        </is>
      </c>
      <c r="C99" s="18" t="n">
        <v>107812.3</v>
      </c>
      <c r="D99" s="19">
        <f>C99/$C$126</f>
        <v/>
      </c>
      <c r="E99" s="38" t="inlineStr">
        <is>
          <t>BDRN3H0</t>
        </is>
      </c>
    </row>
    <row r="100">
      <c r="A100" s="28" t="n">
        <v>30154</v>
      </c>
      <c r="B100" s="2" t="inlineStr">
        <is>
          <t>AVI LTD COMMON STOCK ZAR 5</t>
        </is>
      </c>
      <c r="C100" s="18" t="n">
        <v>106710</v>
      </c>
      <c r="D100" s="19">
        <f>C100/$C$126</f>
        <v/>
      </c>
      <c r="E100" s="38" t="inlineStr">
        <is>
          <t>6040958</t>
        </is>
      </c>
    </row>
    <row r="101">
      <c r="A101" s="28" t="n">
        <v>4570</v>
      </c>
      <c r="B101" s="2" t="inlineStr">
        <is>
          <t>ALDREES PETROLEUM AND TRANSPORT SERVICES CO COMMON STOCK SAR 10</t>
        </is>
      </c>
      <c r="C101" s="18" t="n">
        <v>106608.65</v>
      </c>
      <c r="D101" s="19">
        <f>C101/$C$126</f>
        <v/>
      </c>
      <c r="E101" s="38" t="inlineStr">
        <is>
          <t>B128FF8</t>
        </is>
      </c>
    </row>
    <row r="102">
      <c r="A102" s="28" t="n">
        <v>2041744</v>
      </c>
      <c r="B102" s="2" t="inlineStr">
        <is>
          <t>ROSNEFT OIL CO PJSC COMMON STOCK RUB 0.01</t>
        </is>
      </c>
      <c r="C102" s="18" t="n">
        <v>59693.46</v>
      </c>
      <c r="D102" s="19">
        <f>C102/$C$126</f>
        <v/>
      </c>
      <c r="E102" s="38" t="inlineStr">
        <is>
          <t>0H5827S</t>
        </is>
      </c>
    </row>
    <row r="103">
      <c r="A103" s="28" t="n">
        <v>1677948</v>
      </c>
      <c r="B103" s="2" t="inlineStr">
        <is>
          <t>ROSNEFT OIL CO PJSC COMMON STOCK RUB</t>
        </is>
      </c>
      <c r="C103" s="18" t="n">
        <v>44914.26</v>
      </c>
      <c r="D103" s="19">
        <f>C103/$C$126</f>
        <v/>
      </c>
      <c r="E103" s="38" t="inlineStr">
        <is>
          <t>2H7674S</t>
        </is>
      </c>
    </row>
    <row r="104">
      <c r="A104" s="28" t="n"/>
      <c r="B104" s="27" t="inlineStr">
        <is>
          <t>Subtotal</t>
        </is>
      </c>
      <c r="C104" s="29">
        <f>+C103+C102</f>
        <v/>
      </c>
      <c r="D104" s="31">
        <f>C104/$C$129</f>
        <v/>
      </c>
      <c r="E104" s="38" t="n"/>
    </row>
    <row r="105">
      <c r="A105" s="28" t="n">
        <v>2657</v>
      </c>
      <c r="B105" s="2" t="inlineStr">
        <is>
          <t>ERSTE GROUP BANK AG COMMON STOCK EUR 0</t>
        </is>
      </c>
      <c r="C105" s="18" t="n">
        <v>101857.04</v>
      </c>
      <c r="D105" s="19">
        <f>C105/$C$126</f>
        <v/>
      </c>
      <c r="E105" s="38" t="inlineStr">
        <is>
          <t>5289837</t>
        </is>
      </c>
    </row>
    <row r="106">
      <c r="A106" s="28" t="n">
        <v>5534</v>
      </c>
      <c r="B106" s="2" t="inlineStr">
        <is>
          <t>LUMI RENTAL CO COMMON STOCK SAR 10</t>
        </is>
      </c>
      <c r="C106" s="18" t="n">
        <v>96069.32000000001</v>
      </c>
      <c r="D106" s="19">
        <f>C106/$C$126</f>
        <v/>
      </c>
      <c r="E106" s="38" t="inlineStr">
        <is>
          <t>BN4J940</t>
        </is>
      </c>
    </row>
    <row r="107">
      <c r="A107" s="28" t="n">
        <v>3385</v>
      </c>
      <c r="B107" s="2" t="inlineStr">
        <is>
          <t>ARABIAN DRILLING CO COMMON STOCK SAR 10</t>
        </is>
      </c>
      <c r="C107" s="18" t="n">
        <v>95126.66</v>
      </c>
      <c r="D107" s="19">
        <f>C107/$C$126</f>
        <v/>
      </c>
      <c r="E107" s="38" t="inlineStr">
        <is>
          <t>BPNZYP9</t>
        </is>
      </c>
    </row>
    <row r="108">
      <c r="A108" s="28" t="n">
        <v>5361</v>
      </c>
      <c r="B108" s="2" t="inlineStr">
        <is>
          <t>RAIFFEISEN BANK INTERNATIONAL AG COMMON STOCK EUR 0</t>
        </is>
      </c>
      <c r="C108" s="18" t="n">
        <v>77068.44</v>
      </c>
      <c r="D108" s="19">
        <f>C108/$C$126</f>
        <v/>
      </c>
      <c r="E108" s="38" t="inlineStr">
        <is>
          <t>B0704T9</t>
        </is>
      </c>
    </row>
    <row r="109">
      <c r="A109" s="28" t="n">
        <v>3657350</v>
      </c>
      <c r="B109" s="2" t="inlineStr">
        <is>
          <t>NOVOLIPETSK STEEL PJSC COMMON STOCK RUB</t>
        </is>
      </c>
      <c r="C109" s="18" t="n">
        <v>59596.79</v>
      </c>
      <c r="D109" s="19">
        <f>C109/$C$126</f>
        <v/>
      </c>
      <c r="E109" s="38" t="inlineStr">
        <is>
          <t>2H7675S</t>
        </is>
      </c>
    </row>
    <row r="110">
      <c r="A110" s="28" t="n">
        <v>180877</v>
      </c>
      <c r="B110" s="2" t="inlineStr">
        <is>
          <t>MAGNIT PJSC COMMON STOCK RUB 0.01</t>
        </is>
      </c>
      <c r="C110" s="18" t="n">
        <v>53225.5</v>
      </c>
      <c r="D110" s="19">
        <f>C110/$C$126</f>
        <v/>
      </c>
      <c r="E110" s="38" t="inlineStr">
        <is>
          <t>0H5813S</t>
        </is>
      </c>
    </row>
    <row r="111">
      <c r="A111" s="28" t="n">
        <v>1265335</v>
      </c>
      <c r="B111" s="2" t="inlineStr">
        <is>
          <t>GAZPROM NEFT PJSC COMMON STOCK RUB</t>
        </is>
      </c>
      <c r="C111" s="18" t="n">
        <v>48098.18</v>
      </c>
      <c r="D111" s="19">
        <f>C111/$C$126</f>
        <v/>
      </c>
      <c r="E111" s="38" t="inlineStr">
        <is>
          <t>0H5803S</t>
        </is>
      </c>
    </row>
    <row r="112">
      <c r="A112" s="28" t="n">
        <v>730066</v>
      </c>
      <c r="B112" s="2" t="inlineStr">
        <is>
          <t>TATNEFT PJSC COMMON STOCK RUB</t>
        </is>
      </c>
      <c r="C112" s="18" t="n">
        <v>26012.3</v>
      </c>
      <c r="D112" s="19">
        <f>C112/$C$126</f>
        <v/>
      </c>
      <c r="E112" s="38" t="inlineStr">
        <is>
          <t>0H5822S</t>
        </is>
      </c>
    </row>
    <row r="113">
      <c r="A113" s="28" t="n">
        <v>571359</v>
      </c>
      <c r="B113" s="2" t="inlineStr">
        <is>
          <t>TATNEFT PJSC PREFERENCE RUB 1</t>
        </is>
      </c>
      <c r="C113" s="18" t="n">
        <v>18028.06</v>
      </c>
      <c r="D113" s="19">
        <f>C113/$C$126</f>
        <v/>
      </c>
      <c r="E113" s="38" t="inlineStr">
        <is>
          <t>0H5816S</t>
        </is>
      </c>
    </row>
    <row r="114">
      <c r="A114" s="28" t="n"/>
      <c r="B114" s="27" t="inlineStr">
        <is>
          <t>Subtotal</t>
        </is>
      </c>
      <c r="C114" s="29">
        <f>+C113+C112</f>
        <v/>
      </c>
      <c r="D114" s="31">
        <f>C114/$C$129</f>
        <v/>
      </c>
      <c r="E114" s="38" t="n"/>
    </row>
    <row r="115">
      <c r="A115" s="28" t="n">
        <v>6156103</v>
      </c>
      <c r="B115" s="2" t="inlineStr">
        <is>
          <t>ROSTELECOM PJSC COMMON STOCK RUB</t>
        </is>
      </c>
      <c r="C115" s="18" t="n">
        <v>41489.58</v>
      </c>
      <c r="D115" s="19">
        <f>C115/$C$126</f>
        <v/>
      </c>
      <c r="E115" s="38" t="inlineStr">
        <is>
          <t>0H5802S</t>
        </is>
      </c>
    </row>
    <row r="116">
      <c r="A116" s="28" t="n">
        <v>21233273216</v>
      </c>
      <c r="B116" s="2" t="inlineStr">
        <is>
          <t>VTB BANK PJSC COMMON STOCK RUB 0.01</t>
        </is>
      </c>
      <c r="C116" s="18" t="n">
        <v>39691.48</v>
      </c>
      <c r="D116" s="19">
        <f>C116/$C$126</f>
        <v/>
      </c>
      <c r="E116" s="38" t="inlineStr">
        <is>
          <t>0H5837S</t>
        </is>
      </c>
    </row>
    <row r="117">
      <c r="A117" s="28" t="n">
        <v>29773</v>
      </c>
      <c r="B117" s="2" t="inlineStr">
        <is>
          <t>POLYUS PJSC COMMON STOCK RUB</t>
        </is>
      </c>
      <c r="C117" s="18" t="n">
        <v>28783.17</v>
      </c>
      <c r="D117" s="19">
        <f>C117/$C$126</f>
        <v/>
      </c>
      <c r="E117" s="38" t="inlineStr">
        <is>
          <t>2H7182S</t>
        </is>
      </c>
    </row>
    <row r="118">
      <c r="A118" s="28" t="n">
        <v>169819</v>
      </c>
      <c r="B118" s="2" t="inlineStr">
        <is>
          <t>YANDEX NV COMMON STOCK USD 0.01</t>
        </is>
      </c>
      <c r="C118" s="18" t="n">
        <v>25262.11</v>
      </c>
      <c r="D118" s="19">
        <f>C118/$C$126</f>
        <v/>
      </c>
      <c r="E118" s="38" t="inlineStr">
        <is>
          <t>0H6379S</t>
        </is>
      </c>
    </row>
    <row r="119">
      <c r="A119" s="28" t="n">
        <v>432517</v>
      </c>
      <c r="B119" s="2" t="inlineStr">
        <is>
          <t>MD MEDICAL GROUP INVESTMENTS PLC GDR USD</t>
        </is>
      </c>
      <c r="C119" s="18" t="n">
        <v>19363.39</v>
      </c>
      <c r="D119" s="19">
        <f>C119/$C$126</f>
        <v/>
      </c>
      <c r="E119" s="38" t="inlineStr">
        <is>
          <t>0H6371S</t>
        </is>
      </c>
    </row>
    <row r="120">
      <c r="A120" s="28" t="n">
        <v>12313057</v>
      </c>
      <c r="B120" s="2" t="inlineStr">
        <is>
          <t>SISTEMA PJSFC COMMON STOCK RUB 0.09</t>
        </is>
      </c>
      <c r="C120" s="18" t="n">
        <v>14553.91</v>
      </c>
      <c r="D120" s="19">
        <f>C120/$C$126</f>
        <v/>
      </c>
      <c r="E120" s="38" t="inlineStr">
        <is>
          <t>0H5808S</t>
        </is>
      </c>
    </row>
    <row r="121">
      <c r="A121" s="28" t="n">
        <v>577525</v>
      </c>
      <c r="B121" s="2" t="inlineStr">
        <is>
          <t>FIX PRICE GROUP LTD GDR</t>
        </is>
      </c>
      <c r="C121" s="18" t="n">
        <v>4263.85</v>
      </c>
      <c r="D121" s="19">
        <f>C121/$C$126</f>
        <v/>
      </c>
      <c r="E121" s="38" t="inlineStr">
        <is>
          <t>0H6372S</t>
        </is>
      </c>
    </row>
    <row r="122">
      <c r="A122" s="28" t="n">
        <v>75226</v>
      </c>
      <c r="B122" s="2" t="inlineStr">
        <is>
          <t>TCS GROUP HOLDING PLC GDR</t>
        </is>
      </c>
      <c r="C122" s="18" t="n">
        <v>1886.56</v>
      </c>
      <c r="D122" s="19">
        <f>C122/$C$126</f>
        <v/>
      </c>
      <c r="E122" s="38" t="inlineStr">
        <is>
          <t>0H6380S</t>
        </is>
      </c>
    </row>
    <row r="123">
      <c r="A123" s="28" t="n">
        <v>275182</v>
      </c>
      <c r="B123" s="2" t="inlineStr">
        <is>
          <t>X 5 RETAIL GROUP NV-REGS GDR</t>
        </is>
      </c>
      <c r="C123" s="18" t="n">
        <v>1148.54</v>
      </c>
      <c r="D123" s="19">
        <f>C123/$C$126</f>
        <v/>
      </c>
      <c r="E123" s="38" t="inlineStr">
        <is>
          <t>0H6365S</t>
        </is>
      </c>
    </row>
    <row r="124">
      <c r="A124" s="28" t="n">
        <v>552780</v>
      </c>
      <c r="B124" s="2" t="inlineStr">
        <is>
          <t>SEVERSTAL PAO GDR USD</t>
        </is>
      </c>
      <c r="C124" s="18" t="n">
        <v>260.93</v>
      </c>
      <c r="D124" s="19">
        <f>C124/$C$126</f>
        <v/>
      </c>
      <c r="E124" s="38" t="inlineStr">
        <is>
          <t>0H6368S</t>
        </is>
      </c>
    </row>
    <row r="125">
      <c r="A125" s="28" t="n"/>
      <c r="B125" s="2" t="n"/>
      <c r="C125" s="18" t="n"/>
      <c r="D125" s="19" t="n"/>
      <c r="E125" s="38" t="n"/>
    </row>
    <row r="126">
      <c r="A126" s="28" t="n"/>
      <c r="B126" s="21" t="inlineStr">
        <is>
          <t>Total portfolio</t>
        </is>
      </c>
      <c r="C126" s="39">
        <f>SUM(C12:C28)+SUM(C30:C42)+SUM(C44:C50)+SUM(C52:C77)+SUM(C79:C103)+SUM(C105:C113)+SUM(C115:C124)</f>
        <v/>
      </c>
      <c r="D126" s="19">
        <f>C126/$C$129</f>
        <v/>
      </c>
      <c r="E126" s="20" t="n"/>
    </row>
    <row r="127">
      <c r="A127" s="28" t="n"/>
      <c r="B127" s="21" t="inlineStr">
        <is>
          <t>Net Current Assets</t>
        </is>
      </c>
      <c r="C127" s="39" t="n">
        <v>159632.78</v>
      </c>
      <c r="D127" s="19">
        <f>C127/$C$129</f>
        <v/>
      </c>
      <c r="E127" s="20" t="n"/>
    </row>
    <row r="128">
      <c r="A128" s="28" t="n"/>
      <c r="B128" s="21" t="n"/>
      <c r="C128" s="39" t="n"/>
      <c r="D128" s="32" t="n"/>
      <c r="E128" s="20" t="n"/>
    </row>
    <row r="129">
      <c r="A129" s="17" t="n"/>
      <c r="B129" s="21"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33"/>
  <sheetViews>
    <sheetView workbookViewId="0">
      <selection activeCell="B127" sqref="B127"/>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30th April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735466.91</v>
      </c>
      <c r="D12" s="19">
        <f>C12/$C$126</f>
        <v/>
      </c>
      <c r="E12" s="20" t="inlineStr">
        <is>
          <t>B12LZH9</t>
        </is>
      </c>
    </row>
    <row r="13">
      <c r="A13" s="41" t="n">
        <v>81271</v>
      </c>
      <c r="B13" s="2" t="inlineStr">
        <is>
          <t>THE SAUDI NATIONAL BANK</t>
        </is>
      </c>
      <c r="C13" s="18" t="n">
        <v>650678.3199999999</v>
      </c>
      <c r="D13" s="19">
        <f>C13/$C$126</f>
        <v/>
      </c>
      <c r="E13" s="20" t="inlineStr">
        <is>
          <t>BSHYYN1</t>
        </is>
      </c>
    </row>
    <row r="14">
      <c r="A14" s="41" t="n">
        <v>514330.73</v>
      </c>
      <c r="B14" s="2" t="inlineStr">
        <is>
          <t>JPM GBP LIQUIDITY LVNAV X (DIST.)</t>
        </is>
      </c>
      <c r="C14" s="18" t="n">
        <v>514330.73</v>
      </c>
      <c r="D14" s="19">
        <f>C14/$C$126</f>
        <v/>
      </c>
      <c r="E14" s="20" t="inlineStr">
        <is>
          <t>5819115</t>
        </is>
      </c>
    </row>
    <row r="15">
      <c r="A15" s="41" t="n">
        <v>73566</v>
      </c>
      <c r="B15" s="45" t="inlineStr">
        <is>
          <t>SAUDI ARABIAN OIL CO COMMON STOCK SAR</t>
        </is>
      </c>
      <c r="C15" s="33" t="n">
        <v>470722.02</v>
      </c>
      <c r="D15" s="19">
        <f>C15/$C$126</f>
        <v/>
      </c>
      <c r="E15" s="20" t="inlineStr">
        <is>
          <t>BJTM270</t>
        </is>
      </c>
    </row>
    <row r="16">
      <c r="A16" s="41" t="n">
        <v>164763</v>
      </c>
      <c r="B16" s="2" t="inlineStr">
        <is>
          <t>FIRSTRAND LTD COMMON STOCK ZAR 1</t>
        </is>
      </c>
      <c r="C16" s="18" t="n">
        <v>455201.62</v>
      </c>
      <c r="D16" s="19">
        <f>C16/$C$126</f>
        <v/>
      </c>
      <c r="E16" s="20" t="inlineStr">
        <is>
          <t>6606996</t>
        </is>
      </c>
    </row>
    <row r="17">
      <c r="A17" s="41" t="n">
        <v>92792</v>
      </c>
      <c r="B17" s="2" t="inlineStr">
        <is>
          <t>TUPRAS-TURKIYE PETROL RAFINE</t>
        </is>
      </c>
      <c r="C17" s="18" t="n">
        <v>448164</v>
      </c>
      <c r="D17" s="19">
        <f>C17/$C$126</f>
        <v/>
      </c>
      <c r="E17" s="20" t="inlineStr">
        <is>
          <t>B03MYT9</t>
        </is>
      </c>
    </row>
    <row r="18">
      <c r="A18" s="41" t="n">
        <v>31177</v>
      </c>
      <c r="B18" s="2" t="inlineStr">
        <is>
          <t>GOLD FIELDS LTD COMMON STOCK ZAR 50</t>
        </is>
      </c>
      <c r="C18" s="33" t="n">
        <v>410713.15</v>
      </c>
      <c r="D18" s="19">
        <f>C18/$C$126</f>
        <v/>
      </c>
      <c r="E18" s="20" t="inlineStr">
        <is>
          <t>6280215</t>
        </is>
      </c>
    </row>
    <row r="19">
      <c r="A19" s="41" t="n">
        <v>47333</v>
      </c>
      <c r="B19" s="2" t="inlineStr">
        <is>
          <t>SAUDI TELECOM CO COMMON STOCK</t>
        </is>
      </c>
      <c r="C19" s="33" t="n">
        <v>378961.22</v>
      </c>
      <c r="D19" s="19">
        <f>C19/$C$126</f>
        <v/>
      </c>
      <c r="E19" s="20" t="inlineStr">
        <is>
          <t>B12M7Q5</t>
        </is>
      </c>
    </row>
    <row r="20">
      <c r="A20" s="41" t="n">
        <v>200673</v>
      </c>
      <c r="B20" s="2" t="inlineStr">
        <is>
          <t>EMAAR PROPERTIES PJSC COMMON STOCK AED 1</t>
        </is>
      </c>
      <c r="C20" s="18" t="n">
        <v>358233.86</v>
      </c>
      <c r="D20" s="19">
        <f>C20/$C$126</f>
        <v/>
      </c>
      <c r="E20" s="20" t="inlineStr">
        <is>
          <t>B01RM25</t>
        </is>
      </c>
    </row>
    <row r="21">
      <c r="A21" s="41" t="n">
        <v>117376</v>
      </c>
      <c r="B21" s="2" t="inlineStr">
        <is>
          <t>QATAR NATIONAL BANK QPSC COMMON STOCK QAR 1</t>
        </is>
      </c>
      <c r="C21" s="18" t="n">
        <v>357605.77</v>
      </c>
      <c r="D21" s="19">
        <f>C21/$C$126</f>
        <v/>
      </c>
      <c r="E21" s="20" t="inlineStr">
        <is>
          <t>6148197</t>
        </is>
      </c>
    </row>
    <row r="22">
      <c r="A22" s="41" t="n">
        <v>47354</v>
      </c>
      <c r="B22" s="2" t="inlineStr">
        <is>
          <t>STANDARD BANK GROUP LTD COMMON STOCK ZAR 10</t>
        </is>
      </c>
      <c r="C22" s="18" t="n">
        <v>355560.69</v>
      </c>
      <c r="D22" s="19">
        <f>C22/$C$126</f>
        <v/>
      </c>
      <c r="E22" s="20" t="inlineStr">
        <is>
          <t>B030GJ7</t>
        </is>
      </c>
    </row>
    <row r="23">
      <c r="A23" s="41" t="n">
        <v>29624</v>
      </c>
      <c r="B23" s="2" t="inlineStr">
        <is>
          <t>POWSZECHNA KASA OSZCZEDNOSCI BANK POLSKI SA COMMON STOCK PLN 1</t>
        </is>
      </c>
      <c r="C23" s="18" t="n">
        <v>354909.77</v>
      </c>
      <c r="D23" s="19">
        <f>C23/$C$126</f>
        <v/>
      </c>
      <c r="E23" s="20" t="inlineStr">
        <is>
          <t>B03NGS5</t>
        </is>
      </c>
    </row>
    <row r="24">
      <c r="A24" s="41" t="n">
        <v>49901</v>
      </c>
      <c r="B24" s="2" t="inlineStr">
        <is>
          <t>ALINMA BANK COMMON STOCK SAR 10</t>
        </is>
      </c>
      <c r="C24" s="18" t="n">
        <v>354362.68</v>
      </c>
      <c r="D24" s="19">
        <f>C24/$C$126</f>
        <v/>
      </c>
      <c r="E24" s="20" t="inlineStr">
        <is>
          <t>B39NWT3</t>
        </is>
      </c>
    </row>
    <row r="25">
      <c r="A25" s="41" t="n">
        <v>22007</v>
      </c>
      <c r="B25" s="2" t="inlineStr">
        <is>
          <t>HALYK SAVINGS BANK OF KAZAKHSTAN JSC GDR USD</t>
        </is>
      </c>
      <c r="C25" s="18" t="n">
        <v>327604.9</v>
      </c>
      <c r="D25" s="19">
        <f>C25/$C$126</f>
        <v/>
      </c>
      <c r="E25" s="20" t="inlineStr">
        <is>
          <t>B1KDG41</t>
        </is>
      </c>
    </row>
    <row r="26">
      <c r="A26" s="41" t="n">
        <v>7639</v>
      </c>
      <c r="B26" s="2" t="inlineStr">
        <is>
          <t>OTP BANK NYRT COMMON STOCK HUF 100</t>
        </is>
      </c>
      <c r="C26" s="18" t="n">
        <v>303817.07</v>
      </c>
      <c r="D26" s="19">
        <f>C26/$C$126</f>
        <v/>
      </c>
      <c r="E26" s="20" t="inlineStr">
        <is>
          <t>7320154</t>
        </is>
      </c>
    </row>
    <row r="27">
      <c r="A27" s="41" t="n">
        <v>81600</v>
      </c>
      <c r="B27" s="2" t="inlineStr">
        <is>
          <t>EMIRATES NBD BANK PJSC COMMON STOCK AED 1</t>
        </is>
      </c>
      <c r="C27" s="18" t="n">
        <v>298967.93</v>
      </c>
      <c r="D27" s="19">
        <f>C27/$C$126</f>
        <v/>
      </c>
      <c r="E27" s="20" t="inlineStr">
        <is>
          <t>B28PFX8</t>
        </is>
      </c>
    </row>
    <row r="28">
      <c r="A28" s="41" t="n">
        <v>11953</v>
      </c>
      <c r="B28" s="2" t="inlineStr">
        <is>
          <t>JUMBO SA COMMON STOCK EUR 0.88</t>
        </is>
      </c>
      <c r="C28" s="18" t="n">
        <v>297841.43</v>
      </c>
      <c r="D28" s="19">
        <f>C28/$C$126</f>
        <v/>
      </c>
      <c r="E28" s="20" t="inlineStr">
        <is>
          <t>7243530</t>
        </is>
      </c>
    </row>
    <row r="29">
      <c r="A29" s="41" t="n">
        <v>362649</v>
      </c>
      <c r="B29" s="2" t="inlineStr">
        <is>
          <t>LUKOIL PJSC COMMON STOCK RUB 0.025 RUB</t>
        </is>
      </c>
      <c r="C29" s="18" t="n">
        <v>159675</v>
      </c>
      <c r="D29" s="19">
        <f>C29/$C$126</f>
        <v/>
      </c>
      <c r="E29" s="20" t="inlineStr">
        <is>
          <t>2H6442S</t>
        </is>
      </c>
    </row>
    <row r="30">
      <c r="A30" s="41" t="n">
        <v>262047</v>
      </c>
      <c r="B30" s="2" t="inlineStr">
        <is>
          <t>LUKOIL PJSC COMMON STOCK RUB</t>
        </is>
      </c>
      <c r="C30" s="18" t="n">
        <v>130503.82</v>
      </c>
      <c r="D30" s="19">
        <f>C30/$C$126</f>
        <v/>
      </c>
      <c r="E30" s="20" t="inlineStr">
        <is>
          <t>0H5797S</t>
        </is>
      </c>
    </row>
    <row r="31">
      <c r="A31" s="28" t="n"/>
      <c r="B31" s="27" t="inlineStr">
        <is>
          <t>Subtotal</t>
        </is>
      </c>
      <c r="C31" s="29">
        <f>+C30+C29</f>
        <v/>
      </c>
      <c r="D31" s="31">
        <f>C31/$C$129</f>
        <v/>
      </c>
      <c r="E31" s="20" t="n"/>
    </row>
    <row r="32">
      <c r="A32" s="28" t="n">
        <v>28551</v>
      </c>
      <c r="B32" s="2" t="inlineStr">
        <is>
          <t>POWSZECHNY ZAKLAD UBEZPIECZEN SA COMMON STOCK PLN 0.1</t>
        </is>
      </c>
      <c r="C32" s="18" t="n">
        <v>288971.43</v>
      </c>
      <c r="D32" s="19">
        <f>C32/$C$126</f>
        <v/>
      </c>
      <c r="E32" s="20" t="inlineStr">
        <is>
          <t>B63DG21</t>
        </is>
      </c>
    </row>
    <row r="33">
      <c r="A33" s="28" t="n">
        <v>95185</v>
      </c>
      <c r="B33" s="2" t="inlineStr">
        <is>
          <t>SANLAM LTD COMMON STOCK ZAR 1</t>
        </is>
      </c>
      <c r="C33" s="18" t="n">
        <v>274597.04</v>
      </c>
      <c r="D33" s="19">
        <f>C33/$C$126</f>
        <v/>
      </c>
      <c r="E33" s="20" t="inlineStr">
        <is>
          <t>B0L6750</t>
        </is>
      </c>
    </row>
    <row r="34">
      <c r="A34" s="28" t="n">
        <v>4992</v>
      </c>
      <c r="B34" s="2" t="inlineStr">
        <is>
          <t>BANK OF GEORGIA GROUP PLC COMMON STOCK GBP 1</t>
        </is>
      </c>
      <c r="C34" s="18" t="n">
        <v>268070.4</v>
      </c>
      <c r="D34" s="19">
        <f>C34/$C$126</f>
        <v/>
      </c>
      <c r="E34" s="20" t="inlineStr">
        <is>
          <t>BF4HYT8</t>
        </is>
      </c>
    </row>
    <row r="35">
      <c r="A35" s="28" t="n">
        <v>7997</v>
      </c>
      <c r="B35" s="2" t="inlineStr">
        <is>
          <t>BANK POLSKA KASA OPIEKI SA COMMON STOCK PLN 1</t>
        </is>
      </c>
      <c r="C35" s="18" t="n">
        <v>266746.89</v>
      </c>
      <c r="D35" s="19">
        <f>C35/$C$126</f>
        <v/>
      </c>
      <c r="E35" s="20" t="inlineStr">
        <is>
          <t>5473113</t>
        </is>
      </c>
    </row>
    <row r="36">
      <c r="A36" s="28" t="n">
        <v>8205</v>
      </c>
      <c r="B36" s="2" t="inlineStr">
        <is>
          <t>NAC KAZATOMPROM JSC GDR USD</t>
        </is>
      </c>
      <c r="C36" s="18" t="n">
        <v>264074.99</v>
      </c>
      <c r="D36" s="19">
        <f>C36/$C$126</f>
        <v/>
      </c>
      <c r="E36" s="20" t="inlineStr">
        <is>
          <t>BGXQL36</t>
        </is>
      </c>
    </row>
    <row r="37">
      <c r="A37" s="28" t="n">
        <v>40671</v>
      </c>
      <c r="B37" s="2" t="inlineStr">
        <is>
          <t>NATIONAL BANK OF GREECE SA COMMON STOCK EUR 1</t>
        </is>
      </c>
      <c r="C37" s="18" t="n">
        <v>262560.6</v>
      </c>
      <c r="D37" s="19">
        <f>C37/$C$126</f>
        <v/>
      </c>
      <c r="E37" s="20" t="inlineStr">
        <is>
          <t>BG087C6</t>
        </is>
      </c>
    </row>
    <row r="38">
      <c r="A38" s="28" t="n">
        <v>7421</v>
      </c>
      <c r="B38" s="2" t="inlineStr">
        <is>
          <t>TBC BANK GROUP PLC COMMON STOCK GBP 1</t>
        </is>
      </c>
      <c r="C38" s="18" t="n">
        <v>256766.6</v>
      </c>
      <c r="D38" s="19">
        <f>C38/$C$126</f>
        <v/>
      </c>
      <c r="E38" s="20" t="inlineStr">
        <is>
          <t>BYT1830</t>
        </is>
      </c>
    </row>
    <row r="39">
      <c r="A39" s="28" t="n">
        <v>14028</v>
      </c>
      <c r="B39" s="2" t="inlineStr">
        <is>
          <t>NOVA LJUBLJANSKA BANKA DD GDR EUR</t>
        </is>
      </c>
      <c r="C39" s="18" t="n">
        <v>240776.84</v>
      </c>
      <c r="D39" s="19">
        <f>C39/$C$126</f>
        <v/>
      </c>
      <c r="E39" s="20" t="inlineStr">
        <is>
          <t>BGRPD22</t>
        </is>
      </c>
    </row>
    <row r="40">
      <c r="A40" s="28" t="n">
        <v>8860909</v>
      </c>
      <c r="B40" s="2" t="inlineStr">
        <is>
          <t>GAZPROM PJSC COMMON STOCK RUB</t>
        </is>
      </c>
      <c r="C40" s="18" t="n">
        <v>203796.31</v>
      </c>
      <c r="D40" s="19">
        <f>C40/$C$126</f>
        <v/>
      </c>
      <c r="E40" s="20" t="inlineStr">
        <is>
          <t>0H5796S</t>
        </is>
      </c>
    </row>
    <row r="41">
      <c r="A41" s="28" t="n">
        <v>5365084</v>
      </c>
      <c r="B41" s="2" t="inlineStr">
        <is>
          <t>GAZPROM PJSC ADR</t>
        </is>
      </c>
      <c r="C41" s="18" t="n">
        <v>24911.23</v>
      </c>
      <c r="D41" s="19">
        <f>C41/$C$126</f>
        <v/>
      </c>
      <c r="E41" s="20" t="inlineStr">
        <is>
          <t>0H6364S</t>
        </is>
      </c>
    </row>
    <row r="42">
      <c r="A42" s="28" t="n"/>
      <c r="B42" s="27" t="inlineStr">
        <is>
          <t>Subtotal</t>
        </is>
      </c>
      <c r="C42" s="29">
        <f>+C41+C40</f>
        <v/>
      </c>
      <c r="D42" s="31">
        <f>C42/$C$129</f>
        <v/>
      </c>
      <c r="E42" s="38" t="n"/>
    </row>
    <row r="43">
      <c r="A43" s="41" t="n">
        <v>11178</v>
      </c>
      <c r="B43" s="2" t="inlineStr">
        <is>
          <t>RICHTER GEDEON NYRT COMMON STOCK HUF 100</t>
        </is>
      </c>
      <c r="C43" s="18" t="n">
        <v>228573</v>
      </c>
      <c r="D43" s="19">
        <f>C43/$C$126</f>
        <v/>
      </c>
      <c r="E43" s="38" t="inlineStr">
        <is>
          <t>BC9ZH86</t>
        </is>
      </c>
    </row>
    <row r="44">
      <c r="A44" s="41" t="n">
        <v>38596</v>
      </c>
      <c r="B44" s="2" t="inlineStr">
        <is>
          <t>RIYAD BANK COMMON STOCK SAR 10</t>
        </is>
      </c>
      <c r="C44" s="18" t="n">
        <v>227237.67</v>
      </c>
      <c r="D44" s="19">
        <f>C44/$C$126</f>
        <v/>
      </c>
      <c r="E44" s="38" t="inlineStr">
        <is>
          <t>B12LZW4</t>
        </is>
      </c>
    </row>
    <row r="45">
      <c r="A45" s="41" t="n">
        <v>123763</v>
      </c>
      <c r="B45" s="2" t="inlineStr">
        <is>
          <t>ABU DHABI COMMERCIAL BANK PJSC COMMON STOCK AED 1</t>
        </is>
      </c>
      <c r="C45" s="18" t="n">
        <v>224704.54</v>
      </c>
      <c r="D45" s="19">
        <f>C45/$C$126</f>
        <v/>
      </c>
      <c r="E45" s="38" t="inlineStr">
        <is>
          <t>6545464</t>
        </is>
      </c>
    </row>
    <row r="46">
      <c r="A46" s="41" t="n">
        <v>2401</v>
      </c>
      <c r="B46" s="2" t="inlineStr">
        <is>
          <t>JSC KASPI.KZ GDR-REG S</t>
        </is>
      </c>
      <c r="C46" s="18" t="n">
        <v>223810.82</v>
      </c>
      <c r="D46" s="19">
        <f>C46/$C$126</f>
        <v/>
      </c>
      <c r="E46" s="38" t="inlineStr">
        <is>
          <t>BJY21K1</t>
        </is>
      </c>
    </row>
    <row r="47">
      <c r="A47" s="41" t="n">
        <v>71</v>
      </c>
      <c r="B47" s="2" t="inlineStr">
        <is>
          <t>LPP SA COMMON STOCK PLN 2</t>
        </is>
      </c>
      <c r="C47" s="18" t="n">
        <v>220290.85</v>
      </c>
      <c r="D47" s="19">
        <f>C47/$C$126</f>
        <v/>
      </c>
      <c r="E47" s="38" t="inlineStr">
        <is>
          <t>7127979</t>
        </is>
      </c>
    </row>
    <row r="48">
      <c r="A48" s="41" t="n">
        <v>31227</v>
      </c>
      <c r="B48" s="2" t="inlineStr">
        <is>
          <t>HARMONY GOLD MINING CO LTD COMMON STOCK ZAR 50</t>
        </is>
      </c>
      <c r="C48" s="18" t="n">
        <v>218343.51</v>
      </c>
      <c r="D48" s="19">
        <f>C48/$C$126</f>
        <v/>
      </c>
      <c r="E48" s="38" t="inlineStr">
        <is>
          <t>6410562</t>
        </is>
      </c>
    </row>
    <row r="49">
      <c r="A49" s="41" t="n">
        <v>127190</v>
      </c>
      <c r="B49" s="2" t="inlineStr">
        <is>
          <t>EUROBANK ERGASIAS SERVICES AND HOLDINGS SA COMMON STOCK EUR 0.22</t>
        </is>
      </c>
      <c r="C49" s="18" t="n">
        <v>218309.14</v>
      </c>
      <c r="D49" s="19">
        <f>C49/$C$126</f>
        <v/>
      </c>
      <c r="E49" s="38" t="inlineStr">
        <is>
          <t>BYZ43T4</t>
        </is>
      </c>
    </row>
    <row r="50">
      <c r="A50" s="41" t="n">
        <v>35367</v>
      </c>
      <c r="B50" s="2" t="inlineStr">
        <is>
          <t>ABSA GROUP LTD</t>
        </is>
      </c>
      <c r="C50" s="18" t="n">
        <v>218124.69</v>
      </c>
      <c r="D50" s="19">
        <f>C50/$C$126</f>
        <v/>
      </c>
      <c r="E50" s="38" t="inlineStr">
        <is>
          <t>BFX05H3</t>
        </is>
      </c>
    </row>
    <row r="51">
      <c r="A51" s="41" t="n">
        <v>9203</v>
      </c>
      <c r="B51" s="2" t="inlineStr">
        <is>
          <t>MOTOR OIL HELLAS CORINTH REFINERIES SA COMMON STOCK EUR 0.75</t>
        </is>
      </c>
      <c r="C51" s="18" t="n">
        <v>213600.26</v>
      </c>
      <c r="D51" s="19">
        <f>C51/$C$126</f>
        <v/>
      </c>
      <c r="E51" s="38" t="inlineStr">
        <is>
          <t>5996234</t>
        </is>
      </c>
    </row>
    <row r="52">
      <c r="A52" s="41" t="n">
        <v>19991</v>
      </c>
      <c r="B52" s="2" t="inlineStr">
        <is>
          <t>SHOPRITE HOLDINGS LTD COMMON STOCK ZAR 113.4</t>
        </is>
      </c>
      <c r="C52" s="18" t="n">
        <v>213386.54</v>
      </c>
      <c r="D52" s="19">
        <f>C52/$C$126</f>
        <v/>
      </c>
      <c r="E52" s="38" t="inlineStr">
        <is>
          <t>6801575</t>
        </is>
      </c>
    </row>
    <row r="53">
      <c r="A53" s="41" t="n">
        <v>14455036</v>
      </c>
      <c r="B53" s="2" t="inlineStr">
        <is>
          <t>SBERBANK OF RUSSIA PJSC PREFERENCE RUB 3</t>
        </is>
      </c>
      <c r="C53" s="18" t="n">
        <v>183398.11</v>
      </c>
      <c r="D53" s="19">
        <f>C53/$C$126</f>
        <v/>
      </c>
      <c r="E53" s="38" t="inlineStr">
        <is>
          <t>0H5856S</t>
        </is>
      </c>
    </row>
    <row r="54">
      <c r="A54" s="41" t="n">
        <v>2355925</v>
      </c>
      <c r="B54" s="2" t="inlineStr">
        <is>
          <t>SBERBANK OF RUSSIA PJSC</t>
        </is>
      </c>
      <c r="C54" s="18" t="n">
        <v>29674.74</v>
      </c>
      <c r="D54" s="19">
        <f>C54/$C$126</f>
        <v/>
      </c>
      <c r="E54" s="38" t="inlineStr">
        <is>
          <t>0H5855S</t>
        </is>
      </c>
    </row>
    <row r="55">
      <c r="A55" s="41" t="n"/>
      <c r="B55" s="27" t="inlineStr">
        <is>
          <t>Subtotal</t>
        </is>
      </c>
      <c r="C55" s="29">
        <f>+C54+C53</f>
        <v/>
      </c>
      <c r="D55" s="31">
        <f>C55/$C$129</f>
        <v/>
      </c>
      <c r="E55" s="38" t="n"/>
    </row>
    <row r="56">
      <c r="A56" s="28" t="n">
        <v>19263</v>
      </c>
      <c r="B56" s="2" t="inlineStr">
        <is>
          <t>ETIHAD ETISALAT CO COMMON STOCK SAR 10</t>
        </is>
      </c>
      <c r="C56" s="18" t="n">
        <v>212469.49</v>
      </c>
      <c r="D56" s="19">
        <f>C56/$C$126</f>
        <v/>
      </c>
      <c r="E56" s="38" t="inlineStr">
        <is>
          <t>B12LR51</t>
        </is>
      </c>
    </row>
    <row r="57">
      <c r="A57" s="28" t="n">
        <v>250715</v>
      </c>
      <c r="B57" s="2" t="inlineStr">
        <is>
          <t>ADNOC DRILLING CO PJSC COMMON STOCK AED</t>
        </is>
      </c>
      <c r="C57" s="18" t="n">
        <v>210427.34</v>
      </c>
      <c r="D57" s="19">
        <f>C57/$C$126</f>
        <v/>
      </c>
      <c r="E57" s="38" t="inlineStr">
        <is>
          <t>BN12D39</t>
        </is>
      </c>
    </row>
    <row r="58">
      <c r="A58" s="28" t="n">
        <v>172191</v>
      </c>
      <c r="B58" s="2" t="inlineStr">
        <is>
          <t>ALDAR PROPERTIES PJSC COMMON STOCK AED 1</t>
        </is>
      </c>
      <c r="C58" s="18" t="n">
        <v>204426.7</v>
      </c>
      <c r="D58" s="19">
        <f>C58/$C$126</f>
        <v/>
      </c>
      <c r="E58" s="38" t="inlineStr">
        <is>
          <t>B0LX3Y2</t>
        </is>
      </c>
    </row>
    <row r="59">
      <c r="A59" s="28" t="n">
        <v>30929</v>
      </c>
      <c r="B59" s="2" t="inlineStr">
        <is>
          <t>MOL HUNGARIAN OIL &amp; GAS PLC COMMON STOCK HUF 125</t>
        </is>
      </c>
      <c r="C59" s="18" t="n">
        <v>204330.24</v>
      </c>
      <c r="D59" s="19">
        <f>C59/$C$126</f>
        <v/>
      </c>
      <c r="E59" s="38" t="inlineStr">
        <is>
          <t>BD5ZXH8</t>
        </is>
      </c>
    </row>
    <row r="60">
      <c r="A60" s="28" t="n">
        <v>299979</v>
      </c>
      <c r="B60" s="2" t="inlineStr">
        <is>
          <t>ADNOC GAS PLC</t>
        </is>
      </c>
      <c r="C60" s="18" t="n">
        <v>195680.09</v>
      </c>
      <c r="D60" s="19">
        <f>C60/$C$126</f>
        <v/>
      </c>
      <c r="E60" s="38" t="inlineStr">
        <is>
          <t>BPJLW35</t>
        </is>
      </c>
    </row>
    <row r="61">
      <c r="A61" s="28" t="n">
        <v>361140</v>
      </c>
      <c r="B61" s="2" t="inlineStr">
        <is>
          <t>DUBAI ELECTRICITY &amp; WATER AU</t>
        </is>
      </c>
      <c r="C61" s="18" t="n">
        <v>183749.42</v>
      </c>
      <c r="D61" s="19">
        <f>C61/$C$126</f>
        <v/>
      </c>
      <c r="E61" s="38" t="inlineStr">
        <is>
          <t>BJLTVJ4</t>
        </is>
      </c>
    </row>
    <row r="62">
      <c r="A62" s="28" t="n">
        <v>5598</v>
      </c>
      <c r="B62" s="2" t="inlineStr">
        <is>
          <t>MYTILINEOS SA COMMON STOCK EUR 0.97</t>
        </is>
      </c>
      <c r="C62" s="18" t="n">
        <v>182607.73</v>
      </c>
      <c r="D62" s="19">
        <f>C62/$C$126</f>
        <v/>
      </c>
      <c r="E62" s="38" t="inlineStr">
        <is>
          <t>5898664</t>
        </is>
      </c>
    </row>
    <row r="63">
      <c r="A63" s="41" t="n">
        <v>36992</v>
      </c>
      <c r="B63" s="2" t="inlineStr">
        <is>
          <t>BANCA TRANSILVANIA SA COMMON STOCK RON 1</t>
        </is>
      </c>
      <c r="C63" s="33" t="n">
        <v>180274.41</v>
      </c>
      <c r="D63" s="19">
        <f>C63/$C$126</f>
        <v/>
      </c>
      <c r="E63" s="38" t="inlineStr">
        <is>
          <t>5393307</t>
        </is>
      </c>
    </row>
    <row r="64">
      <c r="A64" s="28" t="n">
        <v>20423</v>
      </c>
      <c r="B64" s="2" t="inlineStr">
        <is>
          <t>SAUDI AWWAL BANK COMMON STOCK SAR 10</t>
        </is>
      </c>
      <c r="C64" s="18" t="n">
        <v>176123.56</v>
      </c>
      <c r="D64" s="19">
        <f>C64/$C$126</f>
        <v/>
      </c>
      <c r="E64" s="38" t="inlineStr">
        <is>
          <t>B12LSY7</t>
        </is>
      </c>
    </row>
    <row r="65">
      <c r="A65" s="28" t="n">
        <v>144384</v>
      </c>
      <c r="B65" s="2" t="inlineStr">
        <is>
          <t>DUBAI ISLAMIC BANK PJSC COMMON STOCK AED 1</t>
        </is>
      </c>
      <c r="C65" s="18" t="n">
        <v>174239.49</v>
      </c>
      <c r="D65" s="19">
        <f>C65/$C$126</f>
        <v/>
      </c>
      <c r="E65" s="38" t="inlineStr">
        <is>
          <t>6283452</t>
        </is>
      </c>
    </row>
    <row r="66">
      <c r="A66" s="28" t="n">
        <v>1892</v>
      </c>
      <c r="B66" s="2" t="inlineStr">
        <is>
          <t>KRUK SA COMMON STOCK PLN 1</t>
        </is>
      </c>
      <c r="C66" s="18" t="n">
        <v>173195.83</v>
      </c>
      <c r="D66" s="19">
        <f>C66/$C$126</f>
        <v/>
      </c>
      <c r="E66" s="38" t="inlineStr">
        <is>
          <t>B4PTLY0</t>
        </is>
      </c>
    </row>
    <row r="67">
      <c r="A67" s="28" t="n">
        <v>9725</v>
      </c>
      <c r="B67" s="2" t="inlineStr">
        <is>
          <t>UNITED INTERNATIONAL TRANSPORTATION CO COMMON STOCK SAR 10</t>
        </is>
      </c>
      <c r="C67" s="18" t="n">
        <v>172702.47</v>
      </c>
      <c r="D67" s="19">
        <f>C67/$C$126</f>
        <v/>
      </c>
      <c r="E67" s="38" t="inlineStr">
        <is>
          <t>B2493D0</t>
        </is>
      </c>
    </row>
    <row r="68">
      <c r="A68" s="28" t="n">
        <v>105392</v>
      </c>
      <c r="B68" s="2" t="inlineStr">
        <is>
          <t>TURKIYE SIGORTA AS COMMON STOCK TRY 1</t>
        </is>
      </c>
      <c r="C68" s="18" t="n">
        <v>172099.41</v>
      </c>
      <c r="D68" s="19">
        <f>C68/$C$126</f>
        <v/>
      </c>
      <c r="E68" s="38" t="inlineStr">
        <is>
          <t>B03MTD8</t>
        </is>
      </c>
    </row>
    <row r="69">
      <c r="A69" s="28" t="n">
        <v>196322</v>
      </c>
      <c r="B69" s="2" t="inlineStr">
        <is>
          <t>QATAR GAS TRANSPORT CO LTD COMMON STOCK QAR 1</t>
        </is>
      </c>
      <c r="C69" s="18" t="n">
        <v>168802.16</v>
      </c>
      <c r="D69" s="19">
        <f>C69/$C$126</f>
        <v/>
      </c>
      <c r="E69" s="38" t="inlineStr">
        <is>
          <t>B0MLBC9</t>
        </is>
      </c>
    </row>
    <row r="70">
      <c r="A70" s="28" t="n">
        <v>39150</v>
      </c>
      <c r="B70" s="2" t="inlineStr">
        <is>
          <t>ADES HOLDING CO COMMON STOCK SAR 1</t>
        </is>
      </c>
      <c r="C70" s="18" t="n">
        <v>166393.05</v>
      </c>
      <c r="D70" s="19">
        <f>C70/$C$126</f>
        <v/>
      </c>
      <c r="E70" s="38" t="inlineStr">
        <is>
          <t>BR56KM3</t>
        </is>
      </c>
    </row>
    <row r="71">
      <c r="A71" s="28" t="n">
        <v>5652</v>
      </c>
      <c r="B71" s="2" t="inlineStr">
        <is>
          <t>KOMERCNI BANKA AS COMMON STOCK CZK 100</t>
        </is>
      </c>
      <c r="C71" s="18" t="n">
        <v>166117.25</v>
      </c>
      <c r="D71" s="19">
        <f>C71/$C$126</f>
        <v/>
      </c>
      <c r="E71" s="38" t="inlineStr">
        <is>
          <t>4519449</t>
        </is>
      </c>
    </row>
    <row r="72">
      <c r="A72" s="28" t="n">
        <v>66726</v>
      </c>
      <c r="B72" s="2" t="inlineStr">
        <is>
          <t>ABU DHABI ISLAMIC BANK PJSC COMMON STOCK AED 1</t>
        </is>
      </c>
      <c r="C72" s="18" t="n">
        <v>161917.51</v>
      </c>
      <c r="D72" s="19">
        <f>C72/$C$126</f>
        <v/>
      </c>
      <c r="E72" s="38" t="inlineStr">
        <is>
          <t>6001728</t>
        </is>
      </c>
    </row>
    <row r="73">
      <c r="A73" s="28" t="n">
        <v>8057</v>
      </c>
      <c r="B73" s="2" t="inlineStr">
        <is>
          <t>RIYADH CABLES GROUP CO COMMON STOCK SAR 10</t>
        </is>
      </c>
      <c r="C73" s="18" t="n">
        <v>161266.48</v>
      </c>
      <c r="D73" s="19">
        <f>C73/$C$126</f>
        <v/>
      </c>
      <c r="E73" s="38" t="inlineStr">
        <is>
          <t>BNBPXW7</t>
        </is>
      </c>
    </row>
    <row r="74">
      <c r="A74" s="28" t="n">
        <v>5665</v>
      </c>
      <c r="B74" s="2" t="inlineStr">
        <is>
          <t>MOUWASAT MEDICAL SERVICES CO COMMON STOCK SAR 10</t>
        </is>
      </c>
      <c r="C74" s="18" t="n">
        <v>160915.78</v>
      </c>
      <c r="D74" s="19">
        <f>C74/$C$126</f>
        <v/>
      </c>
      <c r="E74" s="38" t="inlineStr">
        <is>
          <t>B403QG4</t>
        </is>
      </c>
    </row>
    <row r="75">
      <c r="A75" s="28" t="n">
        <v>48227</v>
      </c>
      <c r="B75" s="2" t="inlineStr">
        <is>
          <t>PIRAEUS FINANCIAL HOLDINGS SA COMMON STOCK EUR 0.93</t>
        </is>
      </c>
      <c r="C75" s="18" t="n">
        <v>155422.92</v>
      </c>
      <c r="D75" s="19">
        <f>C75/$C$126</f>
        <v/>
      </c>
      <c r="E75" s="38" t="inlineStr">
        <is>
          <t>BNC0DB0</t>
        </is>
      </c>
    </row>
    <row r="76">
      <c r="A76" s="28" t="n">
        <v>12548</v>
      </c>
      <c r="B76" s="2" t="inlineStr">
        <is>
          <t>HELLENIC TELECOMMUNICATIONS ORGANIZATION SA COMMON STOCK EUR 2.83</t>
        </is>
      </c>
      <c r="C76" s="18" t="n">
        <v>153012.05</v>
      </c>
      <c r="D76" s="19">
        <f>C76/$C$126</f>
        <v/>
      </c>
      <c r="E76" s="38" t="inlineStr">
        <is>
          <t>5051605</t>
        </is>
      </c>
    </row>
    <row r="77">
      <c r="A77" s="28" t="n">
        <v>74864</v>
      </c>
      <c r="B77" s="2" t="inlineStr">
        <is>
          <t>MAGYAR TELEKOM TELECOMMUNICATIONS PLC COMMON STOCK HUF 100</t>
        </is>
      </c>
      <c r="C77" s="18" t="n">
        <v>150468.58</v>
      </c>
      <c r="D77" s="19">
        <f>C77/$C$126</f>
        <v/>
      </c>
      <c r="E77" s="38" t="inlineStr">
        <is>
          <t>4577469</t>
        </is>
      </c>
    </row>
    <row r="78">
      <c r="A78" s="28" t="n">
        <v>11282</v>
      </c>
      <c r="B78" s="2" t="inlineStr">
        <is>
          <t>OPAP SA COMMON STOCK EUR 0.3</t>
        </is>
      </c>
      <c r="C78" s="18" t="n">
        <v>150387.56</v>
      </c>
      <c r="D78" s="19">
        <f>C78/$C$126</f>
        <v/>
      </c>
      <c r="E78" s="38" t="inlineStr">
        <is>
          <t>7107250</t>
        </is>
      </c>
    </row>
    <row r="79">
      <c r="A79" s="28" t="n">
        <v>1268490</v>
      </c>
      <c r="B79" s="2" t="inlineStr">
        <is>
          <t>NOVATEK PJSC COMMON STOCK RUB 0.1</t>
        </is>
      </c>
      <c r="C79" s="18" t="n">
        <v>137529.81</v>
      </c>
      <c r="D79" s="19">
        <f>C79/$C$126</f>
        <v/>
      </c>
      <c r="E79" s="38" t="inlineStr">
        <is>
          <t>2H6464S</t>
        </is>
      </c>
    </row>
    <row r="80">
      <c r="A80" s="28" t="n">
        <v>103572</v>
      </c>
      <c r="B80" s="2" t="inlineStr">
        <is>
          <t>NOVATEK PJSC COMMON STOCK RUB 0.1</t>
        </is>
      </c>
      <c r="C80" s="18" t="n">
        <v>12701.23</v>
      </c>
      <c r="D80" s="19">
        <f>C80/$C$126</f>
        <v/>
      </c>
      <c r="E80" s="38" t="inlineStr">
        <is>
          <t>0H5828S</t>
        </is>
      </c>
    </row>
    <row r="81">
      <c r="A81" s="28" t="n"/>
      <c r="B81" s="27" t="inlineStr">
        <is>
          <t>Subtotal</t>
        </is>
      </c>
      <c r="C81" s="29">
        <f>+C80+C79</f>
        <v/>
      </c>
      <c r="D81" s="31">
        <f>C81/$C$129</f>
        <v/>
      </c>
      <c r="E81" s="38" t="n"/>
    </row>
    <row r="82">
      <c r="A82" s="28" t="n">
        <v>764</v>
      </c>
      <c r="B82" s="2" t="inlineStr">
        <is>
          <t>ELM CO COMMON STOCK SAR 10</t>
        </is>
      </c>
      <c r="C82" s="18" t="n">
        <v>148527.55</v>
      </c>
      <c r="D82" s="19">
        <f>C82/$C$126</f>
        <v/>
      </c>
      <c r="E82" s="38" t="inlineStr">
        <is>
          <t>BNYDSH8</t>
        </is>
      </c>
    </row>
    <row r="83">
      <c r="A83" s="41" t="n">
        <v>14151</v>
      </c>
      <c r="B83" s="2" t="inlineStr">
        <is>
          <t>BIDVEST GROUP LTD/THE COMMON STOCK ZAR 5</t>
        </is>
      </c>
      <c r="C83" s="33" t="n">
        <v>147743.63</v>
      </c>
      <c r="D83" s="19">
        <f>C83/$C$126</f>
        <v/>
      </c>
      <c r="E83" s="38" t="inlineStr">
        <is>
          <t>6100089</t>
        </is>
      </c>
    </row>
    <row r="84">
      <c r="A84" s="28" t="n">
        <v>49840</v>
      </c>
      <c r="B84" s="2" t="inlineStr">
        <is>
          <t>JARIR MARKETING CO COMMON STOCK SAR 1</t>
        </is>
      </c>
      <c r="C84" s="18" t="n">
        <v>143694.32</v>
      </c>
      <c r="D84" s="19">
        <f>C84/$C$126</f>
        <v/>
      </c>
      <c r="E84" s="38" t="inlineStr">
        <is>
          <t>B128FM5</t>
        </is>
      </c>
    </row>
    <row r="85">
      <c r="A85" s="28" t="n">
        <v>105464</v>
      </c>
      <c r="B85" s="2" t="inlineStr">
        <is>
          <t>ALPHA SERVICES AND HOLDINGS SA COMMON STOCK EUR 0.29</t>
        </is>
      </c>
      <c r="C85" s="18" t="n">
        <v>143418.96</v>
      </c>
      <c r="D85" s="19">
        <f>C85/$C$126</f>
        <v/>
      </c>
      <c r="E85" s="38" t="inlineStr">
        <is>
          <t>BZ1MXR7</t>
        </is>
      </c>
    </row>
    <row r="86">
      <c r="A86" s="28" t="n">
        <v>11541</v>
      </c>
      <c r="B86" s="2" t="inlineStr">
        <is>
          <t>CLICKS GROUP LTD COMMON STOCK ZAR 1</t>
        </is>
      </c>
      <c r="C86" s="18" t="n">
        <v>142655.89</v>
      </c>
      <c r="D86" s="19">
        <f>C86/$C$126</f>
        <v/>
      </c>
      <c r="E86" s="38" t="inlineStr">
        <is>
          <t>6105578</t>
        </is>
      </c>
    </row>
    <row r="87">
      <c r="A87" s="28" t="n">
        <v>187852</v>
      </c>
      <c r="B87" s="2" t="inlineStr">
        <is>
          <t>SALIK CO PJSC COMMON STOCK AED 0.01</t>
        </is>
      </c>
      <c r="C87" s="18" t="n">
        <v>141327.43</v>
      </c>
      <c r="D87" s="19">
        <f>C87/$C$126</f>
        <v/>
      </c>
      <c r="E87" s="38" t="inlineStr">
        <is>
          <t>BJN5952</t>
        </is>
      </c>
    </row>
    <row r="88">
      <c r="A88" s="28" t="n">
        <v>234111</v>
      </c>
      <c r="B88" s="2" t="inlineStr">
        <is>
          <t>TECOM GROUP PJSC COMMON STOCK AED</t>
        </is>
      </c>
      <c r="C88" s="18" t="n">
        <v>139987.43</v>
      </c>
      <c r="D88" s="19">
        <f>C88/$C$126</f>
        <v/>
      </c>
      <c r="E88" s="38" t="inlineStr">
        <is>
          <t>BLDC8Q1</t>
        </is>
      </c>
    </row>
    <row r="89">
      <c r="A89" s="28" t="n">
        <v>7119200</v>
      </c>
      <c r="B89" s="2" t="inlineStr">
        <is>
          <t>MMC NORILSK NICKEL PJSC COMMON STOCK RUB 1</t>
        </is>
      </c>
      <c r="C89" s="18" t="n">
        <v>137234.23</v>
      </c>
      <c r="D89" s="19">
        <f>C89/$C$126</f>
        <v/>
      </c>
      <c r="E89" s="38" t="inlineStr">
        <is>
          <t>0H5804S</t>
        </is>
      </c>
    </row>
    <row r="90">
      <c r="A90" s="28" t="n">
        <v>2940</v>
      </c>
      <c r="B90" s="2" t="inlineStr">
        <is>
          <t>ARABIAN CONTRACTING SERVICES CO COMMON STOCK SAR</t>
        </is>
      </c>
      <c r="C90" s="18" t="n">
        <v>136723.4</v>
      </c>
      <c r="D90" s="19">
        <f>C90/$C$126</f>
        <v/>
      </c>
      <c r="E90" s="38" t="inlineStr">
        <is>
          <t>BP4DC81</t>
        </is>
      </c>
    </row>
    <row r="91">
      <c r="A91" s="28" t="n">
        <v>7428</v>
      </c>
      <c r="B91" s="2" t="inlineStr">
        <is>
          <t>BID CORP LTD COMMON STOCK ZAR</t>
        </is>
      </c>
      <c r="C91" s="18" t="n">
        <v>135924.03</v>
      </c>
      <c r="D91" s="19">
        <f>C91/$C$126</f>
        <v/>
      </c>
      <c r="E91" s="38" t="inlineStr">
        <is>
          <t>BZBFKT7</t>
        </is>
      </c>
    </row>
    <row r="92">
      <c r="A92" s="28" t="n">
        <v>49360</v>
      </c>
      <c r="B92" s="2" t="inlineStr">
        <is>
          <t>FIRST ABU DHABI BANK PJSC COMMON STOCK AED 1</t>
        </is>
      </c>
      <c r="C92" s="18" t="n">
        <v>133944.31</v>
      </c>
      <c r="D92" s="19">
        <f>C92/$C$126</f>
        <v/>
      </c>
      <c r="E92" s="38" t="inlineStr">
        <is>
          <t>6624471</t>
        </is>
      </c>
    </row>
    <row r="93">
      <c r="A93" s="28" t="n">
        <v>24782</v>
      </c>
      <c r="B93" s="2" t="inlineStr">
        <is>
          <t>ARABIAN CENTRES CO COMMON STOCK SAR 10</t>
        </is>
      </c>
      <c r="C93" s="18" t="n">
        <v>132450.31</v>
      </c>
      <c r="D93" s="19">
        <f>C93/$C$126</f>
        <v/>
      </c>
      <c r="E93" s="38" t="inlineStr">
        <is>
          <t>BKBF694</t>
        </is>
      </c>
    </row>
    <row r="94">
      <c r="A94" s="28" t="n">
        <v>60427</v>
      </c>
      <c r="B94" s="2" t="inlineStr">
        <is>
          <t>OOREDOO QPSC COMMON STOCK QAR 1</t>
        </is>
      </c>
      <c r="C94" s="18" t="n">
        <v>132064.99</v>
      </c>
      <c r="D94" s="19">
        <f>C94/$C$126</f>
        <v/>
      </c>
      <c r="E94" s="38" t="inlineStr">
        <is>
          <t>6158174</t>
        </is>
      </c>
    </row>
    <row r="95">
      <c r="A95" s="28" t="n">
        <v>279893</v>
      </c>
      <c r="B95" s="2" t="inlineStr">
        <is>
          <t>DUBAI TAXI CO PJSC COMMON STOCK AED 0.04</t>
        </is>
      </c>
      <c r="C95" s="18" t="n">
        <v>130238.79</v>
      </c>
      <c r="D95" s="19">
        <f>C95/$C$126</f>
        <v/>
      </c>
      <c r="E95" s="38" t="inlineStr">
        <is>
          <t>BQ7VXK8</t>
        </is>
      </c>
    </row>
    <row r="96">
      <c r="A96" s="28" t="n">
        <v>2904</v>
      </c>
      <c r="B96" s="2" t="inlineStr">
        <is>
          <t>LEEJAM SPORTS CO JSC COMMON STOCK SAR 10</t>
        </is>
      </c>
      <c r="C96" s="18" t="n">
        <v>129360.35</v>
      </c>
      <c r="D96" s="19">
        <f>C96/$C$126</f>
        <v/>
      </c>
      <c r="E96" s="38" t="inlineStr">
        <is>
          <t>BF12ZV5</t>
        </is>
      </c>
    </row>
    <row r="97">
      <c r="A97" s="28" t="n">
        <v>2526</v>
      </c>
      <c r="B97" s="2" t="inlineStr">
        <is>
          <t>BUPA ARABIA FOR COOPERATIVE INSURANCE CO COMMON STOCK SAR 10</t>
        </is>
      </c>
      <c r="C97" s="18" t="n">
        <v>129088.48</v>
      </c>
      <c r="D97" s="19">
        <f>C97/$C$126</f>
        <v/>
      </c>
      <c r="E97" s="38" t="inlineStr">
        <is>
          <t>B2RLCR0</t>
        </is>
      </c>
    </row>
    <row r="98">
      <c r="A98" s="28" t="n">
        <v>3428</v>
      </c>
      <c r="B98" s="2" t="inlineStr">
        <is>
          <t>ALDREES PETROLEUM AND TRANSPORT SERVICES CO COMMON STOCK SAR 10</t>
        </is>
      </c>
      <c r="C98" s="18" t="n">
        <v>122045</v>
      </c>
      <c r="D98" s="19">
        <f>C98/$C$126</f>
        <v/>
      </c>
      <c r="E98" s="38" t="inlineStr">
        <is>
          <t>B128FF8</t>
        </is>
      </c>
    </row>
    <row r="99">
      <c r="A99" s="28" t="n">
        <v>133931</v>
      </c>
      <c r="B99" s="2" t="inlineStr">
        <is>
          <t>ADNOC LOGISTICS &amp; SERVICES COMMON STOCK AED</t>
        </is>
      </c>
      <c r="C99" s="18" t="n">
        <v>116195.3</v>
      </c>
      <c r="D99" s="19">
        <f>C99/$C$126</f>
        <v/>
      </c>
      <c r="E99" s="38" t="inlineStr">
        <is>
          <t>BRBN103</t>
        </is>
      </c>
    </row>
    <row r="100">
      <c r="A100" s="28" t="n">
        <v>30154</v>
      </c>
      <c r="B100" s="2" t="inlineStr">
        <is>
          <t>AVI LTD COMMON STOCK ZAR 5</t>
        </is>
      </c>
      <c r="C100" s="18" t="n">
        <v>111065.14</v>
      </c>
      <c r="D100" s="19">
        <f>C100/$C$126</f>
        <v/>
      </c>
      <c r="E100" s="38" t="inlineStr">
        <is>
          <t>6040958</t>
        </is>
      </c>
    </row>
    <row r="101">
      <c r="A101" s="28" t="n">
        <v>3385</v>
      </c>
      <c r="B101" s="2" t="inlineStr">
        <is>
          <t>ARABIAN DRILLING CO COMMON STOCK SAR 10</t>
        </is>
      </c>
      <c r="C101" s="18" t="n">
        <v>109990.73</v>
      </c>
      <c r="D101" s="19">
        <f>C101/$C$126</f>
        <v/>
      </c>
      <c r="E101" s="38" t="inlineStr">
        <is>
          <t>BPNZYP9</t>
        </is>
      </c>
    </row>
    <row r="102">
      <c r="A102" s="28" t="n">
        <v>2041744</v>
      </c>
      <c r="B102" s="2" t="inlineStr">
        <is>
          <t>ROSNEFT OIL CO PJSC COMMON STOCK RUB 0.01</t>
        </is>
      </c>
      <c r="C102" s="18" t="n">
        <v>60696.98</v>
      </c>
      <c r="D102" s="19">
        <f>C102/$C$126</f>
        <v/>
      </c>
      <c r="E102" s="38" t="inlineStr">
        <is>
          <t>0H5827S</t>
        </is>
      </c>
    </row>
    <row r="103">
      <c r="A103" s="28" t="n">
        <v>1677948</v>
      </c>
      <c r="B103" s="2" t="inlineStr">
        <is>
          <t>ROSNEFT OIL CO PJSC COMMON STOCK RUB</t>
        </is>
      </c>
      <c r="C103" s="18" t="n">
        <v>44154.75</v>
      </c>
      <c r="D103" s="19">
        <f>C103/$C$126</f>
        <v/>
      </c>
      <c r="E103" s="38" t="inlineStr">
        <is>
          <t>2H7674S</t>
        </is>
      </c>
    </row>
    <row r="104">
      <c r="A104" s="28" t="n"/>
      <c r="B104" s="27" t="inlineStr">
        <is>
          <t>Subtotal</t>
        </is>
      </c>
      <c r="C104" s="29">
        <f>+C103+C102</f>
        <v/>
      </c>
      <c r="D104" s="31">
        <f>C104/$C$129</f>
        <v/>
      </c>
      <c r="E104" s="38" t="n"/>
    </row>
    <row r="105">
      <c r="A105" s="28" t="n">
        <v>5534</v>
      </c>
      <c r="B105" s="2" t="inlineStr">
        <is>
          <t>LUMI RENTAL CO COMMON STOCK SAR 10</t>
        </is>
      </c>
      <c r="C105" s="18" t="n">
        <v>103932.32</v>
      </c>
      <c r="D105" s="19">
        <f>C105/$C$126</f>
        <v/>
      </c>
      <c r="E105" s="38" t="inlineStr">
        <is>
          <t>BN4J940</t>
        </is>
      </c>
    </row>
    <row r="106">
      <c r="A106" s="28" t="n">
        <v>2657</v>
      </c>
      <c r="B106" s="2" t="inlineStr">
        <is>
          <t>ERSTE GROUP BANK AG COMMON STOCK EUR 0</t>
        </is>
      </c>
      <c r="C106" s="18" t="n">
        <v>99717.95</v>
      </c>
      <c r="D106" s="19">
        <f>C106/$C$126</f>
        <v/>
      </c>
      <c r="E106" s="38" t="inlineStr">
        <is>
          <t>5289837</t>
        </is>
      </c>
    </row>
    <row r="107">
      <c r="A107" s="28" t="n">
        <v>5361</v>
      </c>
      <c r="B107" s="2" t="inlineStr">
        <is>
          <t>RAIFFEISEN BANK INTERNATIONAL AG COMMON STOCK EUR 0</t>
        </is>
      </c>
      <c r="C107" s="18" t="n">
        <v>79427.00999999999</v>
      </c>
      <c r="D107" s="19">
        <f>C107/$C$126</f>
        <v/>
      </c>
      <c r="E107" s="38" t="inlineStr">
        <is>
          <t>B0704T9</t>
        </is>
      </c>
    </row>
    <row r="108">
      <c r="A108" s="28" t="n">
        <v>20379</v>
      </c>
      <c r="B108" s="2" t="inlineStr">
        <is>
          <t>MOTUS HOLDINGS LTD COMMON STOCK ZAR</t>
        </is>
      </c>
      <c r="C108" s="18" t="n">
        <v>72123.42</v>
      </c>
      <c r="D108" s="19">
        <f>C108/$C$126</f>
        <v/>
      </c>
      <c r="E108" s="38" t="inlineStr">
        <is>
          <t>BDRN3H0</t>
        </is>
      </c>
    </row>
    <row r="109">
      <c r="A109" s="28" t="n">
        <v>3657350</v>
      </c>
      <c r="B109" s="2" t="inlineStr">
        <is>
          <t>NOVOLIPETSK STEEL PJSC COMMON STOCK RUB</t>
        </is>
      </c>
      <c r="C109" s="18" t="n">
        <v>58588.98</v>
      </c>
      <c r="D109" s="19">
        <f>C109/$C$126</f>
        <v/>
      </c>
      <c r="E109" s="38" t="inlineStr">
        <is>
          <t>2H7675S</t>
        </is>
      </c>
    </row>
    <row r="110">
      <c r="A110" s="28" t="n">
        <v>180877</v>
      </c>
      <c r="B110" s="2" t="inlineStr">
        <is>
          <t>MAGNIT PJSC COMMON STOCK RUB 0.01</t>
        </is>
      </c>
      <c r="C110" s="18" t="n">
        <v>54120.28</v>
      </c>
      <c r="D110" s="19">
        <f>C110/$C$126</f>
        <v/>
      </c>
      <c r="E110" s="38" t="inlineStr">
        <is>
          <t>0H5813S</t>
        </is>
      </c>
    </row>
    <row r="111">
      <c r="A111" s="28" t="n">
        <v>1265335</v>
      </c>
      <c r="B111" s="2" t="inlineStr">
        <is>
          <t>GAZPROM NEFT PJSC COMMON STOCK RUB</t>
        </is>
      </c>
      <c r="C111" s="18" t="n">
        <v>48906.76</v>
      </c>
      <c r="D111" s="19">
        <f>C111/$C$126</f>
        <v/>
      </c>
      <c r="E111" s="38" t="inlineStr">
        <is>
          <t>0H5803S</t>
        </is>
      </c>
    </row>
    <row r="112">
      <c r="A112" s="28" t="n">
        <v>730066</v>
      </c>
      <c r="B112" s="2" t="inlineStr">
        <is>
          <t>TATNEFT PJSC COMMON STOCK RUB</t>
        </is>
      </c>
      <c r="C112" s="18" t="n">
        <v>26449.59</v>
      </c>
      <c r="D112" s="19">
        <f>C112/$C$126</f>
        <v/>
      </c>
      <c r="E112" s="38" t="inlineStr">
        <is>
          <t>0H5822S</t>
        </is>
      </c>
    </row>
    <row r="113">
      <c r="A113" s="28" t="n">
        <v>571359</v>
      </c>
      <c r="B113" s="2" t="inlineStr">
        <is>
          <t>TATNEFT PJSC PREFERENCE RUB 1</t>
        </is>
      </c>
      <c r="C113" s="18" t="n">
        <v>18331.13</v>
      </c>
      <c r="D113" s="19">
        <f>C113/$C$126</f>
        <v/>
      </c>
      <c r="E113" s="38" t="inlineStr">
        <is>
          <t>0H5816S</t>
        </is>
      </c>
    </row>
    <row r="114">
      <c r="A114" s="28" t="n"/>
      <c r="B114" s="27" t="inlineStr">
        <is>
          <t>Subtotal</t>
        </is>
      </c>
      <c r="C114" s="29">
        <f>+C113+C112</f>
        <v/>
      </c>
      <c r="D114" s="31">
        <f>C114/$C$129</f>
        <v/>
      </c>
      <c r="E114" s="38" t="n"/>
    </row>
    <row r="115">
      <c r="A115" s="28" t="n">
        <v>6156103</v>
      </c>
      <c r="B115" s="2" t="inlineStr">
        <is>
          <t>ROSTELECOM PJSC COMMON STOCK RUB</t>
        </is>
      </c>
      <c r="C115" s="18" t="n">
        <v>42187.06</v>
      </c>
      <c r="D115" s="19">
        <f>C115/$C$126</f>
        <v/>
      </c>
      <c r="E115" s="38" t="inlineStr">
        <is>
          <t>0H5802S</t>
        </is>
      </c>
    </row>
    <row r="116">
      <c r="A116" s="41" t="n">
        <v>21233273216</v>
      </c>
      <c r="B116" s="2" t="inlineStr">
        <is>
          <t>VTB BANK PJSC COMMON STOCK RUB 0.01</t>
        </is>
      </c>
      <c r="C116" s="33" t="n">
        <v>40358.73</v>
      </c>
      <c r="D116" s="19">
        <f>C116/$C$126</f>
        <v/>
      </c>
      <c r="E116" s="38" t="inlineStr">
        <is>
          <t>0H5837S</t>
        </is>
      </c>
    </row>
    <row r="117">
      <c r="A117" s="28" t="n">
        <v>29773</v>
      </c>
      <c r="B117" s="2" t="inlineStr">
        <is>
          <t>POLYUS PJSC COMMON STOCK RUB</t>
        </is>
      </c>
      <c r="C117" s="18" t="n">
        <v>28296.44</v>
      </c>
      <c r="D117" s="19">
        <f>C117/$C$126</f>
        <v/>
      </c>
      <c r="E117" s="38" t="inlineStr">
        <is>
          <t>2H7182S</t>
        </is>
      </c>
    </row>
    <row r="118">
      <c r="A118" s="28" t="n">
        <v>169819</v>
      </c>
      <c r="B118" s="2" t="inlineStr">
        <is>
          <t>YANDEX NV COMMON STOCK USD 0.01</t>
        </is>
      </c>
      <c r="C118" s="18" t="n">
        <v>25686.79</v>
      </c>
      <c r="D118" s="19">
        <f>C118/$C$126</f>
        <v/>
      </c>
      <c r="E118" s="38" t="inlineStr">
        <is>
          <t>0H6379S</t>
        </is>
      </c>
    </row>
    <row r="119">
      <c r="A119" s="28" t="n">
        <v>432517</v>
      </c>
      <c r="B119" s="2" t="inlineStr">
        <is>
          <t>MD MEDICAL GROUP INVESTMENTS PLC GDR USD</t>
        </is>
      </c>
      <c r="C119" s="18" t="n">
        <v>19688.91</v>
      </c>
      <c r="D119" s="19">
        <f>C119/$C$126</f>
        <v/>
      </c>
      <c r="E119" s="38" t="inlineStr">
        <is>
          <t>0H6371S</t>
        </is>
      </c>
    </row>
    <row r="120">
      <c r="A120" s="28" t="n">
        <v>12313057</v>
      </c>
      <c r="B120" s="2" t="inlineStr">
        <is>
          <t>SISTEMA PJSFC COMMON STOCK RUB 0.09</t>
        </is>
      </c>
      <c r="C120" s="18" t="n">
        <v>14798.58</v>
      </c>
      <c r="D120" s="19">
        <f>C120/$C$126</f>
        <v/>
      </c>
      <c r="E120" s="38" t="inlineStr">
        <is>
          <t>0H5808S</t>
        </is>
      </c>
    </row>
    <row r="121">
      <c r="A121" s="28" t="n">
        <v>577525</v>
      </c>
      <c r="B121" s="2" t="inlineStr">
        <is>
          <t>FIX PRICE GROUP LTD GDR</t>
        </is>
      </c>
      <c r="C121" s="18" t="n">
        <v>4335.53</v>
      </c>
      <c r="D121" s="19">
        <f>C121/$C$126</f>
        <v/>
      </c>
      <c r="E121" s="38" t="inlineStr">
        <is>
          <t>0H6372S</t>
        </is>
      </c>
    </row>
    <row r="122">
      <c r="A122" s="28" t="n">
        <v>75226</v>
      </c>
      <c r="B122" s="2" t="inlineStr">
        <is>
          <t>TCS GROUP HOLDING PLC GDR</t>
        </is>
      </c>
      <c r="C122" s="18" t="n">
        <v>1918.28</v>
      </c>
      <c r="D122" s="19">
        <f>C122/$C$126</f>
        <v/>
      </c>
      <c r="E122" s="38" t="inlineStr">
        <is>
          <t>0H6380S</t>
        </is>
      </c>
    </row>
    <row r="123">
      <c r="A123" s="28" t="n">
        <v>275182</v>
      </c>
      <c r="B123" s="2" t="inlineStr">
        <is>
          <t>X 5 RETAIL GROUP NV-REGS GDR</t>
        </is>
      </c>
      <c r="C123" s="18" t="n">
        <v>1167.85</v>
      </c>
      <c r="D123" s="19">
        <f>C123/$C$126</f>
        <v/>
      </c>
      <c r="E123" s="38" t="inlineStr">
        <is>
          <t>0H6365S</t>
        </is>
      </c>
    </row>
    <row r="124">
      <c r="A124" s="28" t="n">
        <v>552780</v>
      </c>
      <c r="B124" s="2" t="inlineStr">
        <is>
          <t>SEVERSTAL PAO GDR USD</t>
        </is>
      </c>
      <c r="C124" s="18" t="n">
        <v>265.32</v>
      </c>
      <c r="D124" s="19">
        <f>C124/$C$126</f>
        <v/>
      </c>
      <c r="E124" s="38" t="inlineStr">
        <is>
          <t>0H6368S</t>
        </is>
      </c>
    </row>
    <row r="125">
      <c r="A125" s="28" t="n"/>
      <c r="B125" s="2" t="n"/>
      <c r="C125" s="18" t="n"/>
      <c r="D125" s="19" t="n"/>
      <c r="E125" s="38" t="n"/>
    </row>
    <row r="126">
      <c r="A126" s="28" t="n"/>
      <c r="B126" s="21" t="inlineStr">
        <is>
          <t>Total portfolio</t>
        </is>
      </c>
      <c r="C126" s="39">
        <f>SUM(C12:C30)+SUM(C32:C41)+SUM(C43:C54)+SUM(C56:C80)+SUM(C82:C103)+SUM(C105:C113)+SUM(C115:C124)</f>
        <v/>
      </c>
      <c r="D126" s="19">
        <f>C126/$C$129</f>
        <v/>
      </c>
      <c r="E126" s="20" t="n"/>
    </row>
    <row r="127">
      <c r="A127" s="28" t="n"/>
      <c r="B127" s="21" t="inlineStr">
        <is>
          <t>Net Current Assets</t>
        </is>
      </c>
      <c r="C127" s="39" t="n">
        <v>122319.06</v>
      </c>
      <c r="D127" s="19">
        <f>C127/$C$129</f>
        <v/>
      </c>
      <c r="E127" s="20" t="n"/>
    </row>
    <row r="128">
      <c r="A128" s="28" t="n"/>
      <c r="B128" s="21" t="n"/>
      <c r="C128" s="39" t="n"/>
      <c r="D128" s="32" t="n"/>
      <c r="E128" s="20" t="n"/>
    </row>
    <row r="129">
      <c r="A129" s="17" t="n"/>
      <c r="B129" s="21" t="inlineStr">
        <is>
          <t>Total Assets</t>
        </is>
      </c>
      <c r="C129" s="22">
        <f>C126+C127</f>
        <v/>
      </c>
      <c r="D129" s="19">
        <f>C129/$C$129</f>
        <v/>
      </c>
      <c r="E129" s="3" t="n"/>
    </row>
    <row r="130">
      <c r="A130"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1"/>
    <row r="132"/>
    <row r="133"/>
  </sheetData>
  <mergeCells count="2">
    <mergeCell ref="A3:E6"/>
    <mergeCell ref="A130:E133"/>
  </mergeCells>
  <conditionalFormatting sqref="B12:B14">
    <cfRule type="containsText" priority="5" operator="containsText" dxfId="0" text="LIQUIDITY">
      <formula>NOT(ISERROR(SEARCH("LIQUIDITY",B12)))</formula>
    </cfRule>
  </conditionalFormatting>
  <conditionalFormatting sqref="B16:B125">
    <cfRule type="containsText" priority="1" operator="containsText" dxfId="0" text="LIQUIDITY">
      <formula>NOT(ISERROR(SEARCH("LIQUIDITY",B16)))</formula>
    </cfRule>
  </conditionalFormatting>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E136"/>
  <sheetViews>
    <sheetView workbookViewId="0">
      <selection activeCell="B21" sqref="A1:XFD1048576"/>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March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759171.51</v>
      </c>
      <c r="D12" s="19">
        <f>C12/$C$129</f>
        <v/>
      </c>
      <c r="E12" s="20" t="inlineStr">
        <is>
          <t>B12LZH9</t>
        </is>
      </c>
    </row>
    <row r="13">
      <c r="A13" s="41" t="n">
        <v>81271</v>
      </c>
      <c r="B13" s="2" t="inlineStr">
        <is>
          <t>THE SAUDI NATIONAL BANK</t>
        </is>
      </c>
      <c r="C13" s="18" t="n">
        <v>697296.8</v>
      </c>
      <c r="D13" s="19">
        <f>C13/$C$129</f>
        <v/>
      </c>
      <c r="E13" s="20" t="inlineStr">
        <is>
          <t>BSHYYN1</t>
        </is>
      </c>
    </row>
    <row r="14">
      <c r="A14" s="41" t="n">
        <v>514330.73</v>
      </c>
      <c r="B14" s="2" t="inlineStr">
        <is>
          <t>JPM GBP LIQUIDITY LVNAV X (DIST.)</t>
        </is>
      </c>
      <c r="C14" s="18" t="n">
        <v>514330.73</v>
      </c>
      <c r="D14" s="19">
        <f>C14/$C$129</f>
        <v/>
      </c>
      <c r="E14" s="20" t="inlineStr">
        <is>
          <t>5819115</t>
        </is>
      </c>
    </row>
    <row r="15">
      <c r="A15" s="41" t="n">
        <v>73566</v>
      </c>
      <c r="B15" s="45" t="inlineStr">
        <is>
          <t>SAUDI ARABIAN OIL CO COMMON STOCK SAR</t>
        </is>
      </c>
      <c r="C15" s="33" t="n">
        <v>477467.46</v>
      </c>
      <c r="D15" s="19">
        <f>C15/$C$129</f>
        <v/>
      </c>
      <c r="E15" s="20" t="inlineStr">
        <is>
          <t>BJTM270</t>
        </is>
      </c>
    </row>
    <row r="16">
      <c r="A16" s="41" t="n">
        <v>164763</v>
      </c>
      <c r="B16" s="2" t="inlineStr">
        <is>
          <t>FIRSTRAND LTD COMMON STOCK ZAR 1</t>
        </is>
      </c>
      <c r="C16" s="18" t="n">
        <v>425179.86</v>
      </c>
      <c r="D16" s="19">
        <f>C16/$C$129</f>
        <v/>
      </c>
      <c r="E16" s="20" t="inlineStr">
        <is>
          <t>6606996</t>
        </is>
      </c>
    </row>
    <row r="17">
      <c r="A17" s="41" t="n">
        <v>92792</v>
      </c>
      <c r="B17" s="2" t="inlineStr">
        <is>
          <t>TUPRAS-TURKIYE PETROL RAFINE</t>
        </is>
      </c>
      <c r="C17" s="18" t="n">
        <v>401877.19</v>
      </c>
      <c r="D17" s="19">
        <f>C17/$C$129</f>
        <v/>
      </c>
      <c r="E17" s="20" t="inlineStr">
        <is>
          <t>B03MYT9</t>
        </is>
      </c>
    </row>
    <row r="18">
      <c r="A18" s="41" t="n">
        <v>31177</v>
      </c>
      <c r="B18" s="2" t="inlineStr">
        <is>
          <t>GOLD FIELDS LTD COMMON STOCK ZAR 50</t>
        </is>
      </c>
      <c r="C18" s="33" t="n">
        <v>396052.86</v>
      </c>
      <c r="D18" s="19">
        <f>C18/$C$129</f>
        <v/>
      </c>
      <c r="E18" s="20" t="inlineStr">
        <is>
          <t>6280215</t>
        </is>
      </c>
    </row>
    <row r="19">
      <c r="A19" s="41" t="n">
        <v>47333</v>
      </c>
      <c r="B19" s="2" t="inlineStr">
        <is>
          <t>SAUDI TELECOM CO COMMON STOCK</t>
        </is>
      </c>
      <c r="C19" s="33" t="n">
        <v>395622.28</v>
      </c>
      <c r="D19" s="19">
        <f>C19/$C$129</f>
        <v/>
      </c>
      <c r="E19" s="20" t="inlineStr">
        <is>
          <t>B12M7Q5</t>
        </is>
      </c>
    </row>
    <row r="20">
      <c r="A20" s="41" t="n">
        <v>39921</v>
      </c>
      <c r="B20" s="2" t="inlineStr">
        <is>
          <t>ALINMA BANK COMMON STOCK SAR 10</t>
        </is>
      </c>
      <c r="C20" s="18" t="n">
        <v>369060.06</v>
      </c>
      <c r="D20" s="19">
        <f>C20/$C$129</f>
        <v/>
      </c>
      <c r="E20" s="20" t="inlineStr">
        <is>
          <t>B39NWT3</t>
        </is>
      </c>
    </row>
    <row r="21">
      <c r="A21" s="41" t="n">
        <v>47354</v>
      </c>
      <c r="B21" s="2" t="inlineStr">
        <is>
          <t>STANDARD BANK GROUP LTD COMMON STOCK ZAR 10</t>
        </is>
      </c>
      <c r="C21" s="18" t="n">
        <v>366638.29</v>
      </c>
      <c r="D21" s="19">
        <f>C21/$C$129</f>
        <v/>
      </c>
      <c r="E21" s="20" t="inlineStr">
        <is>
          <t>B030GJ7</t>
        </is>
      </c>
    </row>
    <row r="22">
      <c r="A22" s="41" t="n">
        <v>117376</v>
      </c>
      <c r="B22" s="2" t="inlineStr">
        <is>
          <t>QATAR NATIONAL BANK QPSC COMMON STOCK QAR 1</t>
        </is>
      </c>
      <c r="C22" s="18" t="n">
        <v>362119.33</v>
      </c>
      <c r="D22" s="19">
        <f>C22/$C$129</f>
        <v/>
      </c>
      <c r="E22" s="20" t="inlineStr">
        <is>
          <t>6148197</t>
        </is>
      </c>
    </row>
    <row r="23">
      <c r="A23" s="41" t="n">
        <v>200673</v>
      </c>
      <c r="B23" s="2" t="inlineStr">
        <is>
          <t>EMAAR PROPERTIES PJSC COMMON STOCK AED 1</t>
        </is>
      </c>
      <c r="C23" s="18" t="n">
        <v>352990.86</v>
      </c>
      <c r="D23" s="19">
        <f>C23/$C$129</f>
        <v/>
      </c>
      <c r="E23" s="20" t="inlineStr">
        <is>
          <t>B01RM25</t>
        </is>
      </c>
    </row>
    <row r="24">
      <c r="A24" s="41" t="n">
        <v>22007</v>
      </c>
      <c r="B24" s="2" t="inlineStr">
        <is>
          <t>HALYK SAVINGS BANK OF KAZAKHSTAN JSC GDR USD</t>
        </is>
      </c>
      <c r="C24" s="18" t="n">
        <v>310092.7</v>
      </c>
      <c r="D24" s="19">
        <f>C24/$C$129</f>
        <v/>
      </c>
      <c r="E24" s="20" t="inlineStr">
        <is>
          <t>B1KDG41</t>
        </is>
      </c>
    </row>
    <row r="25">
      <c r="A25" s="41" t="n">
        <v>81600</v>
      </c>
      <c r="B25" s="2" t="inlineStr">
        <is>
          <t>EMIRATES NBD BANK PJSC COMMON STOCK AED 1</t>
        </is>
      </c>
      <c r="C25" s="18" t="n">
        <v>307831.15</v>
      </c>
      <c r="D25" s="19">
        <f>C25/$C$129</f>
        <v/>
      </c>
      <c r="E25" s="20" t="inlineStr">
        <is>
          <t>B28PFX8</t>
        </is>
      </c>
    </row>
    <row r="26">
      <c r="A26" s="41" t="n">
        <v>362649</v>
      </c>
      <c r="B26" s="2" t="inlineStr">
        <is>
          <t>LUKOIL PJSC COMMON STOCK RUB 0.025 RUB</t>
        </is>
      </c>
      <c r="C26" s="18" t="n">
        <v>159810.66</v>
      </c>
      <c r="D26" s="19">
        <f>C26/$C$129</f>
        <v/>
      </c>
      <c r="E26" s="20" t="inlineStr">
        <is>
          <t>2H6442S</t>
        </is>
      </c>
    </row>
    <row r="27">
      <c r="A27" s="41" t="n">
        <v>262047</v>
      </c>
      <c r="B27" s="2" t="inlineStr">
        <is>
          <t>LUKOIL PJSC COMMON STOCK RUB</t>
        </is>
      </c>
      <c r="C27" s="18" t="n">
        <v>129357.1</v>
      </c>
      <c r="D27" s="19">
        <f>C27/$C$129</f>
        <v/>
      </c>
      <c r="E27" s="20" t="inlineStr">
        <is>
          <t>0H5797S</t>
        </is>
      </c>
    </row>
    <row r="28">
      <c r="A28" s="28" t="n"/>
      <c r="B28" s="27" t="inlineStr">
        <is>
          <t>Subtotal</t>
        </is>
      </c>
      <c r="C28" s="29">
        <f>+C27+C26</f>
        <v/>
      </c>
      <c r="D28" s="31">
        <f>C28/$C$132</f>
        <v/>
      </c>
      <c r="E28" s="20" t="n"/>
    </row>
    <row r="29">
      <c r="A29" s="41" t="n">
        <v>24341</v>
      </c>
      <c r="B29" s="2" t="inlineStr">
        <is>
          <t>POWSZECHNA KASA OSZCZEDNOSCI BANK POLSKI SA COMMON STOCK PLN 1</t>
        </is>
      </c>
      <c r="C29" s="33" t="n">
        <v>286630.45</v>
      </c>
      <c r="D29" s="19">
        <f>C29/$C$129</f>
        <v/>
      </c>
      <c r="E29" s="20" t="inlineStr">
        <is>
          <t>B03NGS5</t>
        </is>
      </c>
    </row>
    <row r="30">
      <c r="A30" s="41" t="n">
        <v>7639</v>
      </c>
      <c r="B30" s="2" t="inlineStr">
        <is>
          <t>OTP BANK NYRT COMMON STOCK HUF 100</t>
        </is>
      </c>
      <c r="C30" s="33" t="n">
        <v>278445.32</v>
      </c>
      <c r="D30" s="19">
        <f>C30/$C$129</f>
        <v/>
      </c>
      <c r="E30" s="20" t="inlineStr">
        <is>
          <t>7320154</t>
        </is>
      </c>
    </row>
    <row r="31">
      <c r="A31" s="28" t="n">
        <v>95185</v>
      </c>
      <c r="B31" s="2" t="inlineStr">
        <is>
          <t>SANLAM LTD COMMON STOCK ZAR 1</t>
        </is>
      </c>
      <c r="C31" s="18" t="n">
        <v>276070.19</v>
      </c>
      <c r="D31" s="19">
        <f>C31/$C$129</f>
        <v/>
      </c>
      <c r="E31" s="20" t="inlineStr">
        <is>
          <t>B0L6750</t>
        </is>
      </c>
    </row>
    <row r="32">
      <c r="A32" s="28" t="n">
        <v>11953</v>
      </c>
      <c r="B32" s="2" t="inlineStr">
        <is>
          <t>JUMBO SA COMMON STOCK EUR 0.88</t>
        </is>
      </c>
      <c r="C32" s="18" t="n">
        <v>272849.17</v>
      </c>
      <c r="D32" s="19">
        <f>C32/$C$129</f>
        <v/>
      </c>
      <c r="E32" s="20" t="inlineStr">
        <is>
          <t>7243530</t>
        </is>
      </c>
    </row>
    <row r="33">
      <c r="A33" s="41" t="n">
        <v>8205</v>
      </c>
      <c r="B33" s="2" t="inlineStr">
        <is>
          <t>NAC KAZATOMPROM JSC GDR USD</t>
        </is>
      </c>
      <c r="C33" s="18" t="n">
        <v>259806.05</v>
      </c>
      <c r="D33" s="19">
        <f>C33/$C$129</f>
        <v/>
      </c>
      <c r="E33" s="20" t="inlineStr">
        <is>
          <t>BGXQL36</t>
        </is>
      </c>
    </row>
    <row r="34">
      <c r="A34" s="28" t="n">
        <v>40671</v>
      </c>
      <c r="B34" s="2" t="inlineStr">
        <is>
          <t>NATIONAL BANK OF GREECE SA COMMON STOCK EUR 1</t>
        </is>
      </c>
      <c r="C34" s="18" t="n">
        <v>252299.61</v>
      </c>
      <c r="D34" s="19">
        <f>C34/$C$129</f>
        <v/>
      </c>
      <c r="E34" s="20" t="inlineStr">
        <is>
          <t>BG087C6</t>
        </is>
      </c>
    </row>
    <row r="35">
      <c r="A35" s="28" t="n">
        <v>4992</v>
      </c>
      <c r="B35" s="2" t="inlineStr">
        <is>
          <t>BANK OF GEORGIA GROUP PLC COMMON STOCK GBP 1</t>
        </is>
      </c>
      <c r="C35" s="18" t="n">
        <v>252096</v>
      </c>
      <c r="D35" s="19">
        <f>C35/$C$129</f>
        <v/>
      </c>
      <c r="E35" s="20" t="inlineStr">
        <is>
          <t>BF4HYT8</t>
        </is>
      </c>
    </row>
    <row r="36">
      <c r="A36" s="28" t="n">
        <v>38596</v>
      </c>
      <c r="B36" s="2" t="inlineStr">
        <is>
          <t>RIYAD BANK COMMON STOCK SAR 10</t>
        </is>
      </c>
      <c r="C36" s="18" t="n">
        <v>241947.01</v>
      </c>
      <c r="D36" s="19">
        <f>C36/$C$129</f>
        <v/>
      </c>
      <c r="E36" s="20" t="inlineStr">
        <is>
          <t>B12LZW4</t>
        </is>
      </c>
    </row>
    <row r="37">
      <c r="A37" s="28" t="n">
        <v>24876</v>
      </c>
      <c r="B37" s="2" t="inlineStr">
        <is>
          <t>POWSZECHNY ZAKLAD UBEZPIECZEN SA COMMON STOCK PLN 0.1</t>
        </is>
      </c>
      <c r="C37" s="18" t="n">
        <v>240981.19</v>
      </c>
      <c r="D37" s="19">
        <f>C37/$C$129</f>
        <v/>
      </c>
      <c r="E37" s="20" t="inlineStr">
        <is>
          <t>B63DG21</t>
        </is>
      </c>
    </row>
    <row r="38">
      <c r="A38" s="28" t="n">
        <v>7421</v>
      </c>
      <c r="B38" s="2" t="inlineStr">
        <is>
          <t>TBC BANK GROUP PLC COMMON STOCK GBP 1</t>
        </is>
      </c>
      <c r="C38" s="18" t="n">
        <v>238214.1</v>
      </c>
      <c r="D38" s="19">
        <f>C38/$C$129</f>
        <v/>
      </c>
      <c r="E38" s="20" t="inlineStr">
        <is>
          <t>BYT1830</t>
        </is>
      </c>
    </row>
    <row r="39">
      <c r="A39" s="28" t="n">
        <v>2401</v>
      </c>
      <c r="B39" s="2" t="inlineStr">
        <is>
          <t>JSC KASPI.KZ GDR-REG S</t>
        </is>
      </c>
      <c r="C39" s="18" t="n">
        <v>229218.76</v>
      </c>
      <c r="D39" s="19">
        <f>C39/$C$129</f>
        <v/>
      </c>
      <c r="E39" s="20" t="inlineStr">
        <is>
          <t>BMXZ8G7</t>
        </is>
      </c>
    </row>
    <row r="40">
      <c r="A40" s="28" t="n">
        <v>8860909</v>
      </c>
      <c r="B40" s="2" t="inlineStr">
        <is>
          <t>GAZPROM PJSC COMMON STOCK RUB</t>
        </is>
      </c>
      <c r="C40" s="18" t="n">
        <v>202005.58</v>
      </c>
      <c r="D40" s="19">
        <f>C40/$C$129</f>
        <v/>
      </c>
      <c r="E40" s="20" t="inlineStr">
        <is>
          <t>0H5796S</t>
        </is>
      </c>
    </row>
    <row r="41">
      <c r="A41" s="28" t="n">
        <v>5365084</v>
      </c>
      <c r="B41" s="2" t="inlineStr">
        <is>
          <t>GAZPROM PJSC ADR</t>
        </is>
      </c>
      <c r="C41" s="18" t="n">
        <v>24692.34</v>
      </c>
      <c r="D41" s="19">
        <f>C41/$C$129</f>
        <v/>
      </c>
      <c r="E41" s="20" t="inlineStr">
        <is>
          <t>0H6364S</t>
        </is>
      </c>
    </row>
    <row r="42">
      <c r="A42" s="28" t="n"/>
      <c r="B42" s="27" t="inlineStr">
        <is>
          <t>Subtotal</t>
        </is>
      </c>
      <c r="C42" s="29">
        <f>+C41+C40</f>
        <v/>
      </c>
      <c r="D42" s="31">
        <f>C42/$C$132</f>
        <v/>
      </c>
      <c r="E42" s="38" t="n"/>
    </row>
    <row r="43">
      <c r="A43" s="41" t="n">
        <v>6274</v>
      </c>
      <c r="B43" s="2" t="inlineStr">
        <is>
          <t>BANK POLSKA KASA OPIEKI SA COMMON STOCK PLN 1</t>
        </is>
      </c>
      <c r="C43" s="18" t="n">
        <v>226485.6</v>
      </c>
      <c r="D43" s="19">
        <f>C43/$C$129</f>
        <v/>
      </c>
      <c r="E43" s="38" t="inlineStr">
        <is>
          <t>5473113</t>
        </is>
      </c>
    </row>
    <row r="44">
      <c r="A44" s="41" t="n">
        <v>11178</v>
      </c>
      <c r="B44" s="2" t="inlineStr">
        <is>
          <t>RICHTER GEDEON NYRT COMMON STOCK HUF 100</t>
        </is>
      </c>
      <c r="C44" s="18" t="n">
        <v>225064.1</v>
      </c>
      <c r="D44" s="19">
        <f>C44/$C$129</f>
        <v/>
      </c>
      <c r="E44" s="38" t="inlineStr">
        <is>
          <t>BC9ZH86</t>
        </is>
      </c>
    </row>
    <row r="45">
      <c r="A45" s="41" t="n">
        <v>123763</v>
      </c>
      <c r="B45" s="2" t="inlineStr">
        <is>
          <t>ABU DHABI COMMERCIAL BANK PJSC COMMON STOCK AED 1</t>
        </is>
      </c>
      <c r="C45" s="18" t="n">
        <v>221972.17</v>
      </c>
      <c r="D45" s="19">
        <f>C45/$C$129</f>
        <v/>
      </c>
      <c r="E45" s="38" t="inlineStr">
        <is>
          <t>6545464</t>
        </is>
      </c>
    </row>
    <row r="46">
      <c r="A46" s="41" t="n">
        <v>12128</v>
      </c>
      <c r="B46" s="2" t="inlineStr">
        <is>
          <t>NOVA LJUBLJANSKA BANKA DD GDR EUR</t>
        </is>
      </c>
      <c r="C46" s="18" t="n">
        <v>221889.84</v>
      </c>
      <c r="D46" s="19">
        <f>C46/$C$129</f>
        <v/>
      </c>
      <c r="E46" s="38" t="inlineStr">
        <is>
          <t>BGRPD22</t>
        </is>
      </c>
    </row>
    <row r="47">
      <c r="A47" s="41" t="n">
        <v>35367</v>
      </c>
      <c r="B47" s="2" t="inlineStr">
        <is>
          <t>ABSA GROUP LTD</t>
        </is>
      </c>
      <c r="C47" s="18" t="n">
        <v>218814.78</v>
      </c>
      <c r="D47" s="19">
        <f>C47/$C$129</f>
        <v/>
      </c>
      <c r="E47" s="38" t="inlineStr">
        <is>
          <t>BFX05H3</t>
        </is>
      </c>
    </row>
    <row r="48">
      <c r="A48" s="41" t="n">
        <v>9203</v>
      </c>
      <c r="B48" s="2" t="inlineStr">
        <is>
          <t>MOTOR OIL HELLAS CORINTH REFINERIES SA COMMON STOCK EUR 0.75</t>
        </is>
      </c>
      <c r="C48" s="18" t="n">
        <v>216841.84</v>
      </c>
      <c r="D48" s="19">
        <f>C48/$C$129</f>
        <v/>
      </c>
      <c r="E48" s="38" t="inlineStr">
        <is>
          <t>5996234</t>
        </is>
      </c>
    </row>
    <row r="49">
      <c r="A49" s="41" t="n">
        <v>250715</v>
      </c>
      <c r="B49" s="2" t="inlineStr">
        <is>
          <t>ADNOC DRILLING CO PJSC COMMON STOCK AED</t>
        </is>
      </c>
      <c r="C49" s="18" t="n">
        <v>214022.71</v>
      </c>
      <c r="D49" s="19">
        <f>C49/$C$129</f>
        <v/>
      </c>
      <c r="E49" s="38" t="inlineStr">
        <is>
          <t>BN12D39</t>
        </is>
      </c>
    </row>
    <row r="50">
      <c r="A50" s="41" t="n">
        <v>19263</v>
      </c>
      <c r="B50" s="2" t="inlineStr">
        <is>
          <t>ETIHAD ETISALAT CO COMMON STOCK SAR 10</t>
        </is>
      </c>
      <c r="C50" s="18" t="n">
        <v>213860.8</v>
      </c>
      <c r="D50" s="19">
        <f>C50/$C$129</f>
        <v/>
      </c>
      <c r="E50" s="38" t="inlineStr">
        <is>
          <t>B12LR51</t>
        </is>
      </c>
    </row>
    <row r="51">
      <c r="A51" s="41" t="n">
        <v>14455036</v>
      </c>
      <c r="B51" s="2" t="inlineStr">
        <is>
          <t>SBERBANK OF RUSSIA PJSC PREFERENCE RUB 3</t>
        </is>
      </c>
      <c r="C51" s="18" t="n">
        <v>181786.62</v>
      </c>
      <c r="D51" s="19">
        <f>C51/$C$129</f>
        <v/>
      </c>
      <c r="E51" s="38" t="inlineStr">
        <is>
          <t>0H5856S</t>
        </is>
      </c>
    </row>
    <row r="52">
      <c r="A52" s="41" t="n">
        <v>2355925</v>
      </c>
      <c r="B52" s="2" t="inlineStr">
        <is>
          <t>SBERBANK OF RUSSIA PJSC</t>
        </is>
      </c>
      <c r="C52" s="18" t="n">
        <v>29414</v>
      </c>
      <c r="D52" s="19">
        <f>C52/$C$129</f>
        <v/>
      </c>
      <c r="E52" s="38" t="inlineStr">
        <is>
          <t>0H5855S</t>
        </is>
      </c>
    </row>
    <row r="53">
      <c r="A53" s="41" t="n"/>
      <c r="B53" s="27" t="inlineStr">
        <is>
          <t>Subtotal</t>
        </is>
      </c>
      <c r="C53" s="29">
        <f>+C52+C51</f>
        <v/>
      </c>
      <c r="D53" s="31">
        <f>C53/$C$132</f>
        <v/>
      </c>
      <c r="E53" s="38" t="n"/>
    </row>
    <row r="54">
      <c r="A54" s="28" t="n">
        <v>19991</v>
      </c>
      <c r="B54" s="2" t="inlineStr">
        <is>
          <t>SHOPRITE HOLDINGS LTD COMMON STOCK ZAR 113.4</t>
        </is>
      </c>
      <c r="C54" s="18" t="n">
        <v>206777.65</v>
      </c>
      <c r="D54" s="19">
        <f>C54/$C$129</f>
        <v/>
      </c>
      <c r="E54" s="38" t="inlineStr">
        <is>
          <t>6801575</t>
        </is>
      </c>
    </row>
    <row r="55">
      <c r="A55" s="28" t="n">
        <v>172191</v>
      </c>
      <c r="B55" s="2" t="inlineStr">
        <is>
          <t>ALDAR PROPERTIES PJSC COMMON STOCK AED 1</t>
        </is>
      </c>
      <c r="C55" s="18" t="n">
        <v>206380.95</v>
      </c>
      <c r="D55" s="19">
        <f>C55/$C$129</f>
        <v/>
      </c>
      <c r="E55" s="38" t="inlineStr">
        <is>
          <t>B0LX3Y2</t>
        </is>
      </c>
    </row>
    <row r="56">
      <c r="A56" s="28" t="n">
        <v>30929</v>
      </c>
      <c r="B56" s="2" t="inlineStr">
        <is>
          <t>MOL HUNGARIAN OIL &amp; GAS PLC COMMON STOCK HUF 125</t>
        </is>
      </c>
      <c r="C56" s="18" t="n">
        <v>198633.15</v>
      </c>
      <c r="D56" s="19">
        <f>C56/$C$129</f>
        <v/>
      </c>
      <c r="E56" s="38" t="inlineStr">
        <is>
          <t>BD5ZXH8</t>
        </is>
      </c>
    </row>
    <row r="57">
      <c r="A57" s="28" t="n">
        <v>127190</v>
      </c>
      <c r="B57" s="2" t="inlineStr">
        <is>
          <t>EUROBANK ERGASIAS SERVICES AND HOLDINGS SA COMMON STOCK EUR 0.22</t>
        </is>
      </c>
      <c r="C57" s="18" t="n">
        <v>193773.83</v>
      </c>
      <c r="D57" s="19">
        <f>C57/$C$129</f>
        <v/>
      </c>
      <c r="E57" s="38" t="inlineStr">
        <is>
          <t>BYZ43T4</t>
        </is>
      </c>
    </row>
    <row r="58">
      <c r="A58" s="28" t="n">
        <v>361140</v>
      </c>
      <c r="B58" s="2" t="inlineStr">
        <is>
          <t>DUBAI ELECTRICITY &amp; WATER AU</t>
        </is>
      </c>
      <c r="C58" s="18" t="n">
        <v>189954.59</v>
      </c>
      <c r="D58" s="19">
        <f>C58/$C$129</f>
        <v/>
      </c>
      <c r="E58" s="38" t="inlineStr">
        <is>
          <t>BJLTVJ4</t>
        </is>
      </c>
    </row>
    <row r="59">
      <c r="A59" s="28" t="n">
        <v>27388</v>
      </c>
      <c r="B59" s="2" t="inlineStr">
        <is>
          <t>HARMONY GOLD MINING CO LTD COMMON STOCK ZAR 50</t>
        </is>
      </c>
      <c r="C59" s="18" t="n">
        <v>180898.15</v>
      </c>
      <c r="D59" s="19">
        <f>C59/$C$129</f>
        <v/>
      </c>
      <c r="E59" s="38" t="inlineStr">
        <is>
          <t>6410562</t>
        </is>
      </c>
    </row>
    <row r="60">
      <c r="A60" s="28" t="n">
        <v>144384</v>
      </c>
      <c r="B60" s="2" t="inlineStr">
        <is>
          <t>DUBAI ISLAMIC BANK PJSC COMMON STOCK AED 1</t>
        </is>
      </c>
      <c r="C60" s="18" t="n">
        <v>180833.78</v>
      </c>
      <c r="D60" s="19">
        <f>C60/$C$129</f>
        <v/>
      </c>
      <c r="E60" s="38" t="inlineStr">
        <is>
          <t>6283452</t>
        </is>
      </c>
    </row>
    <row r="61">
      <c r="A61" s="41" t="n">
        <v>20423</v>
      </c>
      <c r="B61" s="2" t="inlineStr">
        <is>
          <t>SAUDI AWWAL BANK COMMON STOCK SAR 10</t>
        </is>
      </c>
      <c r="C61" s="33" t="n">
        <v>178675.74</v>
      </c>
      <c r="D61" s="19">
        <f>C61/$C$129</f>
        <v/>
      </c>
      <c r="E61" s="38" t="inlineStr">
        <is>
          <t>B12LSY7</t>
        </is>
      </c>
    </row>
    <row r="62">
      <c r="A62" s="28" t="n">
        <v>9725</v>
      </c>
      <c r="B62" s="2" t="inlineStr">
        <is>
          <t>UNITED INTERNATIONAL TRANSPORTATION CO COMMON STOCK SAR 10</t>
        </is>
      </c>
      <c r="C62" s="18" t="n">
        <v>177552.68</v>
      </c>
      <c r="D62" s="19">
        <f>C62/$C$129</f>
        <v/>
      </c>
      <c r="E62" s="38" t="inlineStr">
        <is>
          <t>B2493D0</t>
        </is>
      </c>
    </row>
    <row r="63">
      <c r="A63" s="28" t="n">
        <v>36992</v>
      </c>
      <c r="B63" s="2" t="inlineStr">
        <is>
          <t>BANCA TRANSILVANIA SA COMMON STOCK RON 1</t>
        </is>
      </c>
      <c r="C63" s="18" t="n">
        <v>177024.65</v>
      </c>
      <c r="D63" s="19">
        <f>C63/$C$129</f>
        <v/>
      </c>
      <c r="E63" s="38" t="inlineStr">
        <is>
          <t>5393307</t>
        </is>
      </c>
    </row>
    <row r="64">
      <c r="A64" s="28" t="n">
        <v>8057</v>
      </c>
      <c r="B64" s="2" t="inlineStr">
        <is>
          <t>RIYADH CABLES GROUP CO COMMON STOCK SAR 10</t>
        </is>
      </c>
      <c r="C64" s="18" t="n">
        <v>171757.72</v>
      </c>
      <c r="D64" s="19">
        <f>C64/$C$129</f>
        <v/>
      </c>
      <c r="E64" s="38" t="inlineStr">
        <is>
          <t>BNBPXW7</t>
        </is>
      </c>
    </row>
    <row r="65">
      <c r="A65" s="28" t="n">
        <v>39150</v>
      </c>
      <c r="B65" s="2" t="inlineStr">
        <is>
          <t>ADES HOLDING CO COMMON STOCK SAR 1</t>
        </is>
      </c>
      <c r="C65" s="18" t="n">
        <v>171380.75</v>
      </c>
      <c r="D65" s="19">
        <f>C65/$C$129</f>
        <v/>
      </c>
      <c r="E65" s="38" t="inlineStr">
        <is>
          <t>BR56KM3</t>
        </is>
      </c>
    </row>
    <row r="66">
      <c r="A66" s="28" t="n">
        <v>5598</v>
      </c>
      <c r="B66" s="2" t="inlineStr">
        <is>
          <t>MYTILINEOS SA COMMON STOCK EUR 0.97</t>
        </is>
      </c>
      <c r="C66" s="18" t="n">
        <v>171145.25</v>
      </c>
      <c r="D66" s="19">
        <f>C66/$C$129</f>
        <v/>
      </c>
      <c r="E66" s="38" t="inlineStr">
        <is>
          <t>5898664</t>
        </is>
      </c>
    </row>
    <row r="67">
      <c r="A67" s="28" t="n">
        <v>196322</v>
      </c>
      <c r="B67" s="2" t="inlineStr">
        <is>
          <t>QATAR GAS TRANSPORT CO LTD COMMON STOCK QAR 1</t>
        </is>
      </c>
      <c r="C67" s="18" t="n">
        <v>170007.97</v>
      </c>
      <c r="D67" s="19">
        <f>C67/$C$129</f>
        <v/>
      </c>
      <c r="E67" s="38" t="inlineStr">
        <is>
          <t>B0MLBC9</t>
        </is>
      </c>
    </row>
    <row r="68">
      <c r="A68" s="28" t="n">
        <v>247235</v>
      </c>
      <c r="B68" s="2" t="inlineStr">
        <is>
          <t>ADNOC GAS PLC</t>
        </is>
      </c>
      <c r="C68" s="18" t="n">
        <v>167882.28</v>
      </c>
      <c r="D68" s="19">
        <f>C68/$C$129</f>
        <v/>
      </c>
      <c r="E68" s="38" t="inlineStr">
        <is>
          <t>BPJLW35</t>
        </is>
      </c>
    </row>
    <row r="69">
      <c r="A69" s="28" t="n">
        <v>1892</v>
      </c>
      <c r="B69" s="2" t="inlineStr">
        <is>
          <t>KRUK SA COMMON STOCK PLN 1</t>
        </is>
      </c>
      <c r="C69" s="18" t="n">
        <v>166382.49</v>
      </c>
      <c r="D69" s="19">
        <f>C69/$C$129</f>
        <v/>
      </c>
      <c r="E69" s="38" t="inlineStr">
        <is>
          <t>B4PTLY0</t>
        </is>
      </c>
    </row>
    <row r="70">
      <c r="A70" s="28" t="n">
        <v>5665</v>
      </c>
      <c r="B70" s="2" t="inlineStr">
        <is>
          <t>MOUWASAT MEDICAL SERVICES CO COMMON STOCK SAR 10</t>
        </is>
      </c>
      <c r="C70" s="18" t="n">
        <v>163093.18</v>
      </c>
      <c r="D70" s="19">
        <f>C70/$C$129</f>
        <v/>
      </c>
      <c r="E70" s="38" t="inlineStr">
        <is>
          <t>B403QG4</t>
        </is>
      </c>
    </row>
    <row r="71">
      <c r="A71" s="28" t="n">
        <v>5652</v>
      </c>
      <c r="B71" s="2" t="inlineStr">
        <is>
          <t>KOMERCNI BANKA AS COMMON STOCK CZK 100</t>
        </is>
      </c>
      <c r="C71" s="18" t="n">
        <v>160904.38</v>
      </c>
      <c r="D71" s="19">
        <f>C71/$C$129</f>
        <v/>
      </c>
      <c r="E71" s="38" t="inlineStr">
        <is>
          <t>4519449</t>
        </is>
      </c>
    </row>
    <row r="72">
      <c r="A72" s="28" t="n">
        <v>11282</v>
      </c>
      <c r="B72" s="2" t="inlineStr">
        <is>
          <t>OPAP SA COMMON STOCK EUR 0.3</t>
        </is>
      </c>
      <c r="C72" s="18" t="n">
        <v>160885.38</v>
      </c>
      <c r="D72" s="19">
        <f>C72/$C$129</f>
        <v/>
      </c>
      <c r="E72" s="38" t="inlineStr">
        <is>
          <t>7107250</t>
        </is>
      </c>
    </row>
    <row r="73">
      <c r="A73" s="28" t="n">
        <v>48227</v>
      </c>
      <c r="B73" s="2" t="inlineStr">
        <is>
          <t>PIRAEUS FINANCIAL HOLDINGS SA COMMON STOCK EUR 0.93</t>
        </is>
      </c>
      <c r="C73" s="18" t="n">
        <v>159316.89</v>
      </c>
      <c r="D73" s="19">
        <f>C73/$C$129</f>
        <v/>
      </c>
      <c r="E73" s="38" t="inlineStr">
        <is>
          <t>BNC0DB0</t>
        </is>
      </c>
    </row>
    <row r="74">
      <c r="A74" s="28" t="n">
        <v>66726</v>
      </c>
      <c r="B74" s="2" t="inlineStr">
        <is>
          <t>ABU DHABI ISLAMIC BANK PJSC COMMON STOCK AED 1</t>
        </is>
      </c>
      <c r="C74" s="18" t="n">
        <v>158511.6</v>
      </c>
      <c r="D74" s="19">
        <f>C74/$C$129</f>
        <v/>
      </c>
      <c r="E74" s="38" t="inlineStr">
        <is>
          <t>6001728</t>
        </is>
      </c>
    </row>
    <row r="75">
      <c r="A75" s="28" t="n">
        <v>764</v>
      </c>
      <c r="B75" s="2" t="inlineStr">
        <is>
          <t>ELM CO COMMON STOCK SAR 10</t>
        </is>
      </c>
      <c r="C75" s="18" t="n">
        <v>154644.15</v>
      </c>
      <c r="D75" s="19">
        <f>C75/$C$129</f>
        <v/>
      </c>
      <c r="E75" s="38" t="inlineStr">
        <is>
          <t>BNYDSH8</t>
        </is>
      </c>
    </row>
    <row r="76">
      <c r="A76" s="28" t="n">
        <v>49840</v>
      </c>
      <c r="B76" s="2" t="inlineStr">
        <is>
          <t>JARIR MARKETING CO COMMON STOCK SAR 1</t>
        </is>
      </c>
      <c r="C76" s="18" t="n">
        <v>154427.84</v>
      </c>
      <c r="D76" s="19">
        <f>C76/$C$129</f>
        <v/>
      </c>
      <c r="E76" s="38" t="inlineStr">
        <is>
          <t>B128FM5</t>
        </is>
      </c>
    </row>
    <row r="77">
      <c r="A77" s="28" t="n">
        <v>50</v>
      </c>
      <c r="B77" s="2" t="inlineStr">
        <is>
          <t>LPP SA COMMON STOCK PLN 2</t>
        </is>
      </c>
      <c r="C77" s="18" t="n">
        <v>151860.28</v>
      </c>
      <c r="D77" s="19">
        <f>C77/$C$129</f>
        <v/>
      </c>
      <c r="E77" s="38" t="inlineStr">
        <is>
          <t>7127979</t>
        </is>
      </c>
    </row>
    <row r="78">
      <c r="A78" s="28" t="n">
        <v>1268490</v>
      </c>
      <c r="B78" s="2" t="inlineStr">
        <is>
          <t>NOVATEK PJSC COMMON STOCK RUB 0.1</t>
        </is>
      </c>
      <c r="C78" s="18" t="n">
        <v>137646.65</v>
      </c>
      <c r="D78" s="19">
        <f>C78/$C$129</f>
        <v/>
      </c>
      <c r="E78" s="38" t="inlineStr">
        <is>
          <t>2H6464S</t>
        </is>
      </c>
    </row>
    <row r="79">
      <c r="A79" s="28" t="n">
        <v>103572</v>
      </c>
      <c r="B79" s="2" t="inlineStr">
        <is>
          <t>NOVATEK PJSC COMMON STOCK RUB 0.1</t>
        </is>
      </c>
      <c r="C79" s="18" t="n">
        <v>12589.62</v>
      </c>
      <c r="D79" s="19">
        <f>C79/$C$129</f>
        <v/>
      </c>
      <c r="E79" s="38" t="inlineStr">
        <is>
          <t>0H5828S</t>
        </is>
      </c>
    </row>
    <row r="80">
      <c r="A80" s="28" t="n"/>
      <c r="B80" s="27" t="inlineStr">
        <is>
          <t>Subtotal</t>
        </is>
      </c>
      <c r="C80" s="29">
        <f>+C79+C78</f>
        <v/>
      </c>
      <c r="D80" s="31">
        <f>C80/$C$132</f>
        <v/>
      </c>
      <c r="E80" s="38" t="n"/>
    </row>
    <row r="81">
      <c r="A81" s="28" t="n">
        <v>187852</v>
      </c>
      <c r="B81" s="2" t="inlineStr">
        <is>
          <t>SALIK CO PJSC COMMON STOCK AED 0.01</t>
        </is>
      </c>
      <c r="C81" s="18" t="n">
        <v>150236.03</v>
      </c>
      <c r="D81" s="19">
        <f>C81/$C$129</f>
        <v/>
      </c>
      <c r="E81" s="38" t="inlineStr">
        <is>
          <t>BJN5952</t>
        </is>
      </c>
    </row>
    <row r="82">
      <c r="A82" s="41" t="n">
        <v>105464</v>
      </c>
      <c r="B82" s="2" t="inlineStr">
        <is>
          <t>ALPHA SERVICES AND HOLDINGS SA COMMON STOCK EUR 0.29</t>
        </is>
      </c>
      <c r="C82" s="33" t="n">
        <v>146969.19</v>
      </c>
      <c r="D82" s="19">
        <f>C82/$C$129</f>
        <v/>
      </c>
      <c r="E82" s="38" t="inlineStr">
        <is>
          <t>BZ1MXR7</t>
        </is>
      </c>
    </row>
    <row r="83">
      <c r="A83" s="28" t="n">
        <v>12548</v>
      </c>
      <c r="B83" s="2" t="inlineStr">
        <is>
          <t>HELLENIC TELECOMMUNICATIONS ORGANIZATION SA COMMON STOCK EUR 2.83</t>
        </is>
      </c>
      <c r="C83" s="18" t="n">
        <v>146648.45</v>
      </c>
      <c r="D83" s="19">
        <f>C83/$C$129</f>
        <v/>
      </c>
      <c r="E83" s="38" t="inlineStr">
        <is>
          <t>5051605</t>
        </is>
      </c>
    </row>
    <row r="84">
      <c r="A84" s="28" t="n">
        <v>74864</v>
      </c>
      <c r="B84" s="2" t="inlineStr">
        <is>
          <t>MAGYAR TELEKOM TELECOMMUNICATIONS PLC</t>
        </is>
      </c>
      <c r="C84" s="18" t="n">
        <v>144725.44</v>
      </c>
      <c r="D84" s="19">
        <f>C84/$C$129</f>
        <v/>
      </c>
      <c r="E84" s="38" t="inlineStr">
        <is>
          <t>4577469</t>
        </is>
      </c>
    </row>
    <row r="85">
      <c r="A85" s="28" t="n">
        <v>14151</v>
      </c>
      <c r="B85" s="2" t="inlineStr">
        <is>
          <t>BIDVEST GROUP LTD/THE COMMON STOCK ZAR 5</t>
        </is>
      </c>
      <c r="C85" s="18" t="n">
        <v>143383.98</v>
      </c>
      <c r="D85" s="19">
        <f>C85/$C$129</f>
        <v/>
      </c>
      <c r="E85" s="38" t="inlineStr">
        <is>
          <t>6100089</t>
        </is>
      </c>
    </row>
    <row r="86">
      <c r="A86" s="28" t="n">
        <v>7428</v>
      </c>
      <c r="B86" s="2" t="inlineStr">
        <is>
          <t>BID CORP LTD COMMON STOCK ZAR</t>
        </is>
      </c>
      <c r="C86" s="18" t="n">
        <v>143217.71</v>
      </c>
      <c r="D86" s="19">
        <f>C86/$C$129</f>
        <v/>
      </c>
      <c r="E86" s="38" t="inlineStr">
        <is>
          <t>BZBFKT7</t>
        </is>
      </c>
    </row>
    <row r="87">
      <c r="A87" s="28" t="n">
        <v>11541</v>
      </c>
      <c r="B87" s="2" t="inlineStr">
        <is>
          <t>CLICKS GROUP LTD COMMON STOCK ZAR 1</t>
        </is>
      </c>
      <c r="C87" s="18" t="n">
        <v>142252.95</v>
      </c>
      <c r="D87" s="19">
        <f>C87/$C$129</f>
        <v/>
      </c>
      <c r="E87" s="38" t="inlineStr">
        <is>
          <t>6105578</t>
        </is>
      </c>
    </row>
    <row r="88">
      <c r="A88" s="28" t="n">
        <v>49360</v>
      </c>
      <c r="B88" s="2" t="inlineStr">
        <is>
          <t>FIRST ABU DHABI BANK PJSC COMMON STOCK AED 1</t>
        </is>
      </c>
      <c r="C88" s="18" t="n">
        <v>140666.59</v>
      </c>
      <c r="D88" s="19">
        <f>C88/$C$129</f>
        <v/>
      </c>
      <c r="E88" s="38" t="inlineStr">
        <is>
          <t>6624471</t>
        </is>
      </c>
    </row>
    <row r="89">
      <c r="A89" s="28" t="n">
        <v>2526</v>
      </c>
      <c r="B89" s="2" t="inlineStr">
        <is>
          <t>BUPA ARABIA FOR COOPERATIVE INSURANCE CO COMMON STOCK SAR 10</t>
        </is>
      </c>
      <c r="C89" s="18" t="n">
        <v>140646.74</v>
      </c>
      <c r="D89" s="19">
        <f>C89/$C$129</f>
        <v/>
      </c>
      <c r="E89" s="38" t="inlineStr">
        <is>
          <t>B2RLCR0</t>
        </is>
      </c>
    </row>
    <row r="90">
      <c r="A90" s="28" t="n">
        <v>234111</v>
      </c>
      <c r="B90" s="2" t="inlineStr">
        <is>
          <t>TECOM GROUP PJSC COMMON STOCK AED</t>
        </is>
      </c>
      <c r="C90" s="18" t="n">
        <v>138783.83</v>
      </c>
      <c r="D90" s="19">
        <f>C90/$C$129</f>
        <v/>
      </c>
      <c r="E90" s="38" t="inlineStr">
        <is>
          <t>BLDC8Q1</t>
        </is>
      </c>
    </row>
    <row r="91">
      <c r="A91" s="28" t="n">
        <v>2940</v>
      </c>
      <c r="B91" s="2" t="inlineStr">
        <is>
          <t>ARABIAN CONTRACTING SERVICES CO COMMON STOCK SAR</t>
        </is>
      </c>
      <c r="C91" s="18" t="n">
        <v>138256.02</v>
      </c>
      <c r="D91" s="19">
        <f>C91/$C$129</f>
        <v/>
      </c>
      <c r="E91" s="38" t="inlineStr">
        <is>
          <t>BP4DC81</t>
        </is>
      </c>
    </row>
    <row r="92">
      <c r="A92" s="28" t="n">
        <v>279893</v>
      </c>
      <c r="B92" s="2" t="inlineStr">
        <is>
          <t>DUBAI TAXI CO PJSC COMMON STOCK AED 0.04</t>
        </is>
      </c>
      <c r="C92" s="18" t="n">
        <v>136359.32</v>
      </c>
      <c r="D92" s="19">
        <f>C92/$C$129</f>
        <v/>
      </c>
      <c r="E92" s="38" t="inlineStr">
        <is>
          <t>BQ7VXK8</t>
        </is>
      </c>
    </row>
    <row r="93">
      <c r="A93" s="28" t="n">
        <v>71192</v>
      </c>
      <c r="B93" s="2" t="inlineStr">
        <is>
          <t>MMC NORILSK NICKEL PJSC COMMON STOCK RUB 1</t>
        </is>
      </c>
      <c r="C93" s="18" t="n">
        <v>136220.74</v>
      </c>
      <c r="D93" s="19">
        <f>C93/$C$129</f>
        <v/>
      </c>
      <c r="E93" s="38" t="inlineStr">
        <is>
          <t>0H5804S</t>
        </is>
      </c>
    </row>
    <row r="94">
      <c r="A94" s="28" t="n">
        <v>60427</v>
      </c>
      <c r="B94" s="2" t="inlineStr">
        <is>
          <t>OOREDOO QPSC COMMON STOCK QAR 1</t>
        </is>
      </c>
      <c r="C94" s="18" t="n">
        <v>135712.97</v>
      </c>
      <c r="D94" s="19">
        <f>C94/$C$129</f>
        <v/>
      </c>
      <c r="E94" s="38" t="inlineStr">
        <is>
          <t>6158174</t>
        </is>
      </c>
    </row>
    <row r="95">
      <c r="A95" s="28" t="n">
        <v>2904</v>
      </c>
      <c r="B95" s="2" t="inlineStr">
        <is>
          <t>LEEJAM SPORTS CO JSC COMMON STOCK SAR 10</t>
        </is>
      </c>
      <c r="C95" s="18" t="n">
        <v>133743.56</v>
      </c>
      <c r="D95" s="19">
        <f>C95/$C$129</f>
        <v/>
      </c>
      <c r="E95" s="38" t="inlineStr">
        <is>
          <t>BF12ZV5</t>
        </is>
      </c>
    </row>
    <row r="96">
      <c r="A96" s="28" t="n">
        <v>24782</v>
      </c>
      <c r="B96" s="2" t="inlineStr">
        <is>
          <t>CENOMI CENTERS COMMON STOCK SAR 10</t>
        </is>
      </c>
      <c r="C96" s="18" t="n">
        <v>132859.19</v>
      </c>
      <c r="D96" s="19">
        <f>C96/$C$129</f>
        <v/>
      </c>
      <c r="E96" s="38" t="inlineStr">
        <is>
          <t>BKBF694</t>
        </is>
      </c>
    </row>
    <row r="97">
      <c r="A97" s="28" t="n">
        <v>210042</v>
      </c>
      <c r="B97" s="2" t="inlineStr">
        <is>
          <t>PARKIN CO PJSC COMMON STOCK AED 0.02</t>
        </is>
      </c>
      <c r="C97" s="18" t="n">
        <v>131307.19</v>
      </c>
      <c r="D97" s="19">
        <f>C97/$C$129</f>
        <v/>
      </c>
      <c r="E97" s="38" t="inlineStr">
        <is>
          <t>WB1B623</t>
        </is>
      </c>
    </row>
    <row r="98">
      <c r="A98" s="28" t="n">
        <v>3428</v>
      </c>
      <c r="B98" s="2" t="inlineStr">
        <is>
          <t>ALDREES PETROLEUM AND TRANSPORT SERVICES CO COMMON STOCK SAR 10</t>
        </is>
      </c>
      <c r="C98" s="18" t="n">
        <v>123869.99</v>
      </c>
      <c r="D98" s="19">
        <f>C98/$C$129</f>
        <v/>
      </c>
      <c r="E98" s="38" t="inlineStr">
        <is>
          <t>B128FF8</t>
        </is>
      </c>
    </row>
    <row r="99">
      <c r="A99" s="28" t="n">
        <v>3385</v>
      </c>
      <c r="B99" s="2" t="inlineStr">
        <is>
          <t>ARABIAN DRILLING CO COMMON STOCK SAR 10</t>
        </is>
      </c>
      <c r="C99" s="18" t="n">
        <v>121173.05</v>
      </c>
      <c r="D99" s="19">
        <f>C99/$C$129</f>
        <v/>
      </c>
      <c r="E99" s="38" t="inlineStr">
        <is>
          <t>BPNZYP9</t>
        </is>
      </c>
    </row>
    <row r="100">
      <c r="A100" s="28" t="n">
        <v>5534</v>
      </c>
      <c r="B100" s="2" t="inlineStr">
        <is>
          <t>LUMI RENTAL CO COMMON STOCK SAR 10</t>
        </is>
      </c>
      <c r="C100" s="18" t="n">
        <v>119374.5</v>
      </c>
      <c r="D100" s="19">
        <f>C100/$C$129</f>
        <v/>
      </c>
      <c r="E100" s="38" t="inlineStr">
        <is>
          <t>BN4J940</t>
        </is>
      </c>
    </row>
    <row r="101">
      <c r="A101" s="28" t="n">
        <v>133931</v>
      </c>
      <c r="B101" s="2" t="inlineStr">
        <is>
          <t>ADNOC LOGISTICS &amp; SERVICES COMMON STOCK AED</t>
        </is>
      </c>
      <c r="C101" s="18" t="n">
        <v>117505.96</v>
      </c>
      <c r="D101" s="19">
        <f>C101/$C$129</f>
        <v/>
      </c>
      <c r="E101" s="38" t="inlineStr">
        <is>
          <t>BRBN103</t>
        </is>
      </c>
    </row>
    <row r="102">
      <c r="A102" s="28" t="n">
        <v>30154</v>
      </c>
      <c r="B102" s="2" t="inlineStr">
        <is>
          <t>AVI LTD COMMON STOCK ZAR 5</t>
        </is>
      </c>
      <c r="C102" s="18" t="n">
        <v>115113.84</v>
      </c>
      <c r="D102" s="19">
        <f>C102/$C$129</f>
        <v/>
      </c>
      <c r="E102" s="38" t="inlineStr">
        <is>
          <t>6040958</t>
        </is>
      </c>
    </row>
    <row r="103">
      <c r="A103" s="28" t="n">
        <v>85179</v>
      </c>
      <c r="B103" s="2" t="inlineStr">
        <is>
          <t>TURKIYE SIGORTA AS COMMON STOCK TRY 1</t>
        </is>
      </c>
      <c r="C103" s="18" t="n">
        <v>105669.6</v>
      </c>
      <c r="D103" s="19">
        <f>C103/$C$129</f>
        <v/>
      </c>
      <c r="E103" s="38" t="inlineStr">
        <is>
          <t>B03MTD8</t>
        </is>
      </c>
    </row>
    <row r="104">
      <c r="A104" s="28" t="n">
        <v>2041744</v>
      </c>
      <c r="B104" s="2" t="inlineStr">
        <is>
          <t>ROSNEFT OIL CO PJSC COMMON STOCK RUB 0.01</t>
        </is>
      </c>
      <c r="C104" s="18" t="n">
        <v>60163.64</v>
      </c>
      <c r="D104" s="19">
        <f>C104/$C$129</f>
        <v/>
      </c>
      <c r="E104" s="38" t="inlineStr">
        <is>
          <t>0H5827S</t>
        </is>
      </c>
    </row>
    <row r="105">
      <c r="A105" s="28" t="n">
        <v>1677948</v>
      </c>
      <c r="B105" s="2" t="inlineStr">
        <is>
          <t>ROSNEFT OIL CO PJSC COMMON STOCK RUB</t>
        </is>
      </c>
      <c r="C105" s="18" t="n">
        <v>44192.26</v>
      </c>
      <c r="D105" s="19">
        <f>C105/$C$129</f>
        <v/>
      </c>
      <c r="E105" s="38" t="inlineStr">
        <is>
          <t>2H7674S</t>
        </is>
      </c>
    </row>
    <row r="106">
      <c r="A106" s="28" t="n"/>
      <c r="B106" s="27" t="inlineStr">
        <is>
          <t>Subtotal</t>
        </is>
      </c>
      <c r="C106" s="29">
        <f>+C105+C104</f>
        <v/>
      </c>
      <c r="D106" s="31">
        <f>C106/$C$132</f>
        <v/>
      </c>
      <c r="E106" s="38" t="n"/>
    </row>
    <row r="107">
      <c r="A107" s="28" t="n">
        <v>2657</v>
      </c>
      <c r="B107" s="2" t="inlineStr">
        <is>
          <t>ERSTE GROUP BANK AG COMMON STOCK EUR 0</t>
        </is>
      </c>
      <c r="C107" s="18" t="n">
        <v>93634.09</v>
      </c>
      <c r="D107" s="19">
        <f>C107/$C$129</f>
        <v/>
      </c>
      <c r="E107" s="38" t="inlineStr">
        <is>
          <t>5289837</t>
        </is>
      </c>
    </row>
    <row r="108">
      <c r="A108" s="28" t="n">
        <v>5361</v>
      </c>
      <c r="B108" s="2" t="inlineStr">
        <is>
          <t>RAIFFEISEN BANK INTERNATIONAL AG COMMON STOCK EUR 0</t>
        </is>
      </c>
      <c r="C108" s="18" t="n">
        <v>84562.27</v>
      </c>
      <c r="D108" s="19">
        <f>C108/$C$129</f>
        <v/>
      </c>
      <c r="E108" s="38" t="inlineStr">
        <is>
          <t>B0704T9</t>
        </is>
      </c>
    </row>
    <row r="109">
      <c r="A109" s="28" t="n">
        <v>20379</v>
      </c>
      <c r="B109" s="2" t="inlineStr">
        <is>
          <t>MOTUS HOLDINGS LTD COMMON STOCK ZAR</t>
        </is>
      </c>
      <c r="C109" s="18" t="n">
        <v>74449.42</v>
      </c>
      <c r="D109" s="19">
        <f>C109/$C$129</f>
        <v/>
      </c>
      <c r="E109" s="38" t="inlineStr">
        <is>
          <t>BDRN3H0</t>
        </is>
      </c>
    </row>
    <row r="110">
      <c r="A110" s="28" t="n">
        <v>4655</v>
      </c>
      <c r="B110" s="2" t="inlineStr">
        <is>
          <t>MODERN MILLS CO COMMON STOCK SAR 10</t>
        </is>
      </c>
      <c r="C110" s="18" t="n">
        <v>67007.83</v>
      </c>
      <c r="D110" s="19">
        <f>C110/$C$129</f>
        <v/>
      </c>
      <c r="E110" s="38" t="inlineStr">
        <is>
          <t>BSLKY24</t>
        </is>
      </c>
    </row>
    <row r="111">
      <c r="A111" s="28" t="n">
        <v>3657350</v>
      </c>
      <c r="B111" s="2" t="inlineStr">
        <is>
          <t>NOVOLIPETSK STEEL PJSC COMMON STOCK RUB</t>
        </is>
      </c>
      <c r="C111" s="18" t="n">
        <v>58638.76</v>
      </c>
      <c r="D111" s="19">
        <f>C111/$C$129</f>
        <v/>
      </c>
      <c r="E111" s="38" t="inlineStr">
        <is>
          <t>2H7675S</t>
        </is>
      </c>
    </row>
    <row r="112">
      <c r="A112" s="28" t="n">
        <v>180877</v>
      </c>
      <c r="B112" s="2" t="inlineStr">
        <is>
          <t>MAGNIT PJSC COMMON STOCK RUB 0.01</t>
        </is>
      </c>
      <c r="C112" s="18" t="n">
        <v>53644.73</v>
      </c>
      <c r="D112" s="19">
        <f>C112/$C$129</f>
        <v/>
      </c>
      <c r="E112" s="38" t="inlineStr">
        <is>
          <t>0H5813S</t>
        </is>
      </c>
    </row>
    <row r="113">
      <c r="A113" s="28" t="n">
        <v>1265335</v>
      </c>
      <c r="B113" s="2" t="inlineStr">
        <is>
          <t>GAZPROM NEFT PJSC COMMON STOCK RUB</t>
        </is>
      </c>
      <c r="C113" s="18" t="n">
        <v>48477.02</v>
      </c>
      <c r="D113" s="19">
        <f>C113/$C$129</f>
        <v/>
      </c>
      <c r="E113" s="38" t="inlineStr">
        <is>
          <t>0H5803S</t>
        </is>
      </c>
    </row>
    <row r="114">
      <c r="A114" s="28" t="n">
        <v>730066</v>
      </c>
      <c r="B114" s="2" t="inlineStr">
        <is>
          <t>TATNEFT PJSC COMMON STOCK RUB</t>
        </is>
      </c>
      <c r="C114" s="18" t="n">
        <v>26217.19</v>
      </c>
      <c r="D114" s="19">
        <f>C114/$C$129</f>
        <v/>
      </c>
      <c r="E114" s="38" t="inlineStr">
        <is>
          <t>0H5822S</t>
        </is>
      </c>
    </row>
    <row r="115">
      <c r="A115" s="28" t="n">
        <v>571359</v>
      </c>
      <c r="B115" s="2" t="inlineStr">
        <is>
          <t>TATNEFT PJSC PREFERENCE RUB 1</t>
        </is>
      </c>
      <c r="C115" s="18" t="n">
        <v>18170.05</v>
      </c>
      <c r="D115" s="19">
        <f>C115/$C$129</f>
        <v/>
      </c>
      <c r="E115" s="38" t="inlineStr">
        <is>
          <t>0H5816S</t>
        </is>
      </c>
    </row>
    <row r="116">
      <c r="A116" s="28" t="n"/>
      <c r="B116" s="27" t="inlineStr">
        <is>
          <t>Subtotal</t>
        </is>
      </c>
      <c r="C116" s="29">
        <f>+C115+C114</f>
        <v/>
      </c>
      <c r="D116" s="31">
        <f>C116/$C$132</f>
        <v/>
      </c>
      <c r="E116" s="38" t="n"/>
    </row>
    <row r="117">
      <c r="A117" s="28" t="n">
        <v>5047</v>
      </c>
      <c r="B117" s="2" t="inlineStr">
        <is>
          <t>HUMANSOFT HOLDING CO KSC COMMON STOCK KWD 100</t>
        </is>
      </c>
      <c r="C117" s="18" t="n">
        <v>43290.53</v>
      </c>
      <c r="D117" s="19">
        <f>C117/$C$129</f>
        <v/>
      </c>
      <c r="E117" s="38" t="inlineStr">
        <is>
          <t>B13BYX7</t>
        </is>
      </c>
    </row>
    <row r="118">
      <c r="A118" s="41" t="n">
        <v>6156103</v>
      </c>
      <c r="B118" s="2" t="inlineStr">
        <is>
          <t>ROSTELECOM PJSC COMMON STOCK RUB</t>
        </is>
      </c>
      <c r="C118" s="33" t="n">
        <v>41816.37</v>
      </c>
      <c r="D118" s="19">
        <f>C118/$C$129</f>
        <v/>
      </c>
      <c r="E118" s="38" t="inlineStr">
        <is>
          <t>0H5802S</t>
        </is>
      </c>
    </row>
    <row r="119">
      <c r="A119" s="28" t="n">
        <v>21233273216</v>
      </c>
      <c r="B119" s="2" t="inlineStr">
        <is>
          <t>VTB BANK PJSC COMMON STOCK RUB 0.01</t>
        </is>
      </c>
      <c r="C119" s="18" t="n">
        <v>40004.11</v>
      </c>
      <c r="D119" s="19">
        <f>C119/$C$129</f>
        <v/>
      </c>
      <c r="E119" s="38" t="inlineStr">
        <is>
          <t>0H5837S</t>
        </is>
      </c>
    </row>
    <row r="120">
      <c r="A120" s="28" t="n">
        <v>29773</v>
      </c>
      <c r="B120" s="2" t="inlineStr">
        <is>
          <t>POLYUS PJSC COMMON STOCK RUB</t>
        </is>
      </c>
      <c r="C120" s="18" t="n">
        <v>28320.48</v>
      </c>
      <c r="D120" s="19">
        <f>C120/$C$129</f>
        <v/>
      </c>
      <c r="E120" s="38" t="inlineStr">
        <is>
          <t>2H7182S</t>
        </is>
      </c>
    </row>
    <row r="121">
      <c r="A121" s="28" t="n">
        <v>169819</v>
      </c>
      <c r="B121" s="2" t="inlineStr">
        <is>
          <t>YANDEX NV COMMON STOCK USD 0.01</t>
        </is>
      </c>
      <c r="C121" s="18" t="n">
        <v>25461.09</v>
      </c>
      <c r="D121" s="19">
        <f>C121/$C$129</f>
        <v/>
      </c>
      <c r="E121" s="38" t="inlineStr">
        <is>
          <t>0H6379S</t>
        </is>
      </c>
    </row>
    <row r="122">
      <c r="A122" s="28" t="n">
        <v>432517</v>
      </c>
      <c r="B122" s="2" t="inlineStr">
        <is>
          <t>MD MEDICAL GROUP INVESTMENTS PLC GDR USD</t>
        </is>
      </c>
      <c r="C122" s="18" t="n">
        <v>19515.91</v>
      </c>
      <c r="D122" s="19">
        <f>C122/$C$129</f>
        <v/>
      </c>
      <c r="E122" s="38" t="inlineStr">
        <is>
          <t>0H6371S</t>
        </is>
      </c>
    </row>
    <row r="123">
      <c r="A123" s="28" t="n">
        <v>12313057</v>
      </c>
      <c r="B123" s="2" t="inlineStr">
        <is>
          <t>SISTEMA PJSFC COMMON STOCK RUB 0.09</t>
        </is>
      </c>
      <c r="C123" s="18" t="n">
        <v>14668.55</v>
      </c>
      <c r="D123" s="19">
        <f>C123/$C$129</f>
        <v/>
      </c>
      <c r="E123" s="38" t="inlineStr">
        <is>
          <t>0H5808S</t>
        </is>
      </c>
    </row>
    <row r="124">
      <c r="A124" s="28" t="n">
        <v>577525</v>
      </c>
      <c r="B124" s="2" t="inlineStr">
        <is>
          <t>FIX PRICE GROUP LTD GDR</t>
        </is>
      </c>
      <c r="C124" s="18" t="n">
        <v>4297.44</v>
      </c>
      <c r="D124" s="19">
        <f>C124/$C$129</f>
        <v/>
      </c>
      <c r="E124" s="38" t="inlineStr">
        <is>
          <t>0H6372S</t>
        </is>
      </c>
    </row>
    <row r="125">
      <c r="A125" s="28" t="n">
        <v>75226</v>
      </c>
      <c r="B125" s="2" t="inlineStr">
        <is>
          <t>TCS GROUP HOLDING PLC GDR</t>
        </is>
      </c>
      <c r="C125" s="18" t="n">
        <v>1901.42</v>
      </c>
      <c r="D125" s="19">
        <f>C125/$C$129</f>
        <v/>
      </c>
      <c r="E125" s="38" t="inlineStr">
        <is>
          <t>0H6380S</t>
        </is>
      </c>
    </row>
    <row r="126">
      <c r="A126" s="28" t="n">
        <v>275182</v>
      </c>
      <c r="B126" s="2" t="inlineStr">
        <is>
          <t>X 5 RETAIL GROUP NV-REGS GDR</t>
        </is>
      </c>
      <c r="C126" s="18" t="n">
        <v>1157.59</v>
      </c>
      <c r="D126" s="19">
        <f>C126/$C$129</f>
        <v/>
      </c>
      <c r="E126" s="38" t="inlineStr">
        <is>
          <t>0H6365S</t>
        </is>
      </c>
    </row>
    <row r="127">
      <c r="A127" s="28" t="n">
        <v>552780</v>
      </c>
      <c r="B127" s="2" t="inlineStr">
        <is>
          <t>SEVERSTAL PAO GDR USD</t>
        </is>
      </c>
      <c r="C127" s="18" t="n">
        <v>262.99</v>
      </c>
      <c r="D127" s="19">
        <f>C127/$C$129</f>
        <v/>
      </c>
      <c r="E127" s="38" t="inlineStr">
        <is>
          <t>0H6368S</t>
        </is>
      </c>
    </row>
    <row r="128">
      <c r="A128" s="28" t="n"/>
      <c r="B128" s="2" t="n"/>
      <c r="C128" s="18" t="n"/>
      <c r="D128" s="19" t="n"/>
      <c r="E128" s="38" t="n"/>
    </row>
    <row r="129">
      <c r="A129" s="28" t="n"/>
      <c r="B129" s="21" t="inlineStr">
        <is>
          <t>Total portfolio</t>
        </is>
      </c>
      <c r="C129" s="39">
        <f>SUM(C12:C27)+SUM(C29:C41)+SUM(C43:C52)+SUM(C54:C79)+SUM(C81:C105)+SUM(C107:C115)+SUM(C117:C127)</f>
        <v/>
      </c>
      <c r="D129" s="19">
        <f>C129/$C$132</f>
        <v/>
      </c>
      <c r="E129" s="20" t="n"/>
    </row>
    <row r="130">
      <c r="A130" s="28" t="n"/>
      <c r="B130" s="21" t="inlineStr">
        <is>
          <t>Net Current Assets</t>
        </is>
      </c>
      <c r="C130" s="39" t="n">
        <v>225148.7499999999</v>
      </c>
      <c r="D130" s="19">
        <f>C130/$C$132</f>
        <v/>
      </c>
      <c r="E130" s="20" t="n"/>
    </row>
    <row r="131">
      <c r="A131" s="28" t="n"/>
      <c r="B131" s="21" t="n"/>
      <c r="C131" s="39" t="n"/>
      <c r="D131" s="32" t="n"/>
      <c r="E131" s="20" t="n"/>
    </row>
    <row r="132">
      <c r="A132" s="17" t="n"/>
      <c r="B132" s="21" t="inlineStr">
        <is>
          <t>Total Assets</t>
        </is>
      </c>
      <c r="C132" s="22">
        <f>C129+C130</f>
        <v/>
      </c>
      <c r="D132" s="19">
        <f>C132/$C$132</f>
        <v/>
      </c>
      <c r="E132" s="3" t="n"/>
    </row>
    <row r="133">
      <c r="A13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4"/>
    <row r="135"/>
    <row r="136"/>
  </sheetData>
  <mergeCells count="2">
    <mergeCell ref="A133:E136"/>
    <mergeCell ref="A3:E6"/>
  </mergeCells>
  <conditionalFormatting sqref="B12:B14">
    <cfRule type="containsText" priority="5" operator="containsText" dxfId="0" text="LIQUIDITY">
      <formula>NOT(ISERROR(SEARCH("LIQUIDITY",B12)))</formula>
    </cfRule>
  </conditionalFormatting>
  <conditionalFormatting sqref="B16:B128">
    <cfRule type="containsText" priority="1" operator="containsText" dxfId="0" text="LIQUIDITY">
      <formula>NOT(ISERROR(SEARCH("LIQUIDITY",B16)))</formula>
    </cfRule>
  </conditionalFormatting>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E132"/>
  <sheetViews>
    <sheetView workbookViewId="0">
      <selection activeCell="E15" sqref="E15:E123"/>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29th February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43283</v>
      </c>
      <c r="B12" s="2" t="inlineStr">
        <is>
          <t>AL RAJHI BANK COMMON STOCK SAR 10</t>
        </is>
      </c>
      <c r="C12" s="18" t="n">
        <v>810197.6</v>
      </c>
      <c r="D12" s="19">
        <f>C12/$C$125</f>
        <v/>
      </c>
      <c r="E12" s="20" t="inlineStr">
        <is>
          <t>B12LZH9</t>
        </is>
      </c>
    </row>
    <row r="13">
      <c r="A13" s="41" t="n">
        <v>81271</v>
      </c>
      <c r="B13" s="2" t="inlineStr">
        <is>
          <t>THE SAUDI NATIONAL BANK</t>
        </is>
      </c>
      <c r="C13" s="18" t="n">
        <v>724663.86</v>
      </c>
      <c r="D13" s="19">
        <f>C13/$C$125</f>
        <v/>
      </c>
      <c r="E13" s="20" t="inlineStr">
        <is>
          <t>BSHYYN1</t>
        </is>
      </c>
    </row>
    <row r="14">
      <c r="A14" s="41" t="n">
        <v>95550</v>
      </c>
      <c r="B14" s="2" t="inlineStr">
        <is>
          <t>SAUDI ARABIAN OIL CO COMMON STOCK SAR</t>
        </is>
      </c>
      <c r="C14" s="18" t="n">
        <v>638484.83</v>
      </c>
      <c r="D14" s="19">
        <f>C14/$C$125</f>
        <v/>
      </c>
      <c r="E14" s="20" t="inlineStr">
        <is>
          <t>BJTM270</t>
        </is>
      </c>
    </row>
    <row r="15">
      <c r="A15" s="41" t="n">
        <v>514330.73</v>
      </c>
      <c r="B15" s="45" t="inlineStr">
        <is>
          <t>JPM GBP LIQUIDITY LVNAV X (DIST.)</t>
        </is>
      </c>
      <c r="C15" s="33" t="n">
        <v>514330.73</v>
      </c>
      <c r="D15" s="19">
        <f>C15/$C$125</f>
        <v/>
      </c>
      <c r="E15" s="20" t="inlineStr">
        <is>
          <t>5819115</t>
        </is>
      </c>
    </row>
    <row r="16">
      <c r="A16" s="41" t="n">
        <v>52618</v>
      </c>
      <c r="B16" s="2" t="inlineStr">
        <is>
          <t>SAUDI TELECOM CO COMMON STOCK</t>
        </is>
      </c>
      <c r="C16" s="18" t="n">
        <v>469730.09</v>
      </c>
      <c r="D16" s="19">
        <f>C16/$C$125</f>
        <v/>
      </c>
      <c r="E16" s="20" t="inlineStr">
        <is>
          <t>B12M7Q5</t>
        </is>
      </c>
    </row>
    <row r="17">
      <c r="A17" s="41" t="n">
        <v>164763</v>
      </c>
      <c r="B17" s="2" t="inlineStr">
        <is>
          <t>FIRSTRAND LTD COMMON STOCK ZAR 1</t>
        </is>
      </c>
      <c r="C17" s="18" t="n">
        <v>439635.34</v>
      </c>
      <c r="D17" s="19">
        <f>C17/$C$125</f>
        <v/>
      </c>
      <c r="E17" s="20" t="inlineStr">
        <is>
          <t>6606996</t>
        </is>
      </c>
    </row>
    <row r="18">
      <c r="A18" s="41" t="n">
        <v>131277</v>
      </c>
      <c r="B18" s="2" t="inlineStr">
        <is>
          <t>QATAR NATIONAL BANK QPSC COMMON STOCK QAR 1</t>
        </is>
      </c>
      <c r="C18" s="33" t="n">
        <v>428974.13</v>
      </c>
      <c r="D18" s="19">
        <f>C18/$C$125</f>
        <v/>
      </c>
      <c r="E18" s="20" t="inlineStr">
        <is>
          <t>6148197</t>
        </is>
      </c>
    </row>
    <row r="19">
      <c r="A19" s="41" t="n">
        <v>47354</v>
      </c>
      <c r="B19" s="2" t="inlineStr">
        <is>
          <t>STANDARD BANK GROUP LTD COMMON STOCK ZAR 10</t>
        </is>
      </c>
      <c r="C19" s="33" t="n">
        <v>393834.72</v>
      </c>
      <c r="D19" s="19">
        <f>C19/$C$125</f>
        <v/>
      </c>
      <c r="E19" s="20" t="inlineStr">
        <is>
          <t>B030GJ7</t>
        </is>
      </c>
    </row>
    <row r="20">
      <c r="A20" s="41" t="n">
        <v>92792</v>
      </c>
      <c r="B20" s="2" t="inlineStr">
        <is>
          <t>TUPRAS-TURKIYE PETROL RAFINE</t>
        </is>
      </c>
      <c r="C20" s="18" t="n">
        <v>380177.38</v>
      </c>
      <c r="D20" s="19">
        <f>C20/$C$125</f>
        <v/>
      </c>
      <c r="E20" s="20" t="inlineStr">
        <is>
          <t>B03MYT9</t>
        </is>
      </c>
    </row>
    <row r="21">
      <c r="A21" s="41" t="n">
        <v>39921</v>
      </c>
      <c r="B21" s="2" t="inlineStr">
        <is>
          <t>ALINMA BANK COMMON STOCK SAR 10</t>
        </is>
      </c>
      <c r="C21" s="18" t="n">
        <v>369846</v>
      </c>
      <c r="D21" s="19">
        <f>C21/$C$125</f>
        <v/>
      </c>
      <c r="E21" s="20" t="inlineStr">
        <is>
          <t>B39NWT3</t>
        </is>
      </c>
    </row>
    <row r="22">
      <c r="A22" s="41" t="n">
        <v>2744</v>
      </c>
      <c r="B22" s="2" t="inlineStr">
        <is>
          <t>NASPERS LTD COMMON STOCK ZAR 2</t>
        </is>
      </c>
      <c r="C22" s="18" t="n">
        <v>356761.5</v>
      </c>
      <c r="D22" s="19">
        <f>C22/$C$125</f>
        <v/>
      </c>
      <c r="E22" s="20" t="inlineStr">
        <is>
          <t>BN0VX82</t>
        </is>
      </c>
    </row>
    <row r="23">
      <c r="A23" s="41" t="n">
        <v>200673</v>
      </c>
      <c r="B23" s="2" t="inlineStr">
        <is>
          <t>EMAAR PROPERTIES PJSC COMMON STOCK AED 1</t>
        </is>
      </c>
      <c r="C23" s="18" t="n">
        <v>349425.83</v>
      </c>
      <c r="D23" s="19">
        <f>C23/$C$125</f>
        <v/>
      </c>
      <c r="E23" s="20" t="inlineStr">
        <is>
          <t>B01RM25</t>
        </is>
      </c>
    </row>
    <row r="24">
      <c r="A24" s="41" t="n">
        <v>8859</v>
      </c>
      <c r="B24" s="2" t="inlineStr">
        <is>
          <t>OTP BANK NYRT COMMON STOCK HUF 100</t>
        </is>
      </c>
      <c r="C24" s="18" t="n">
        <v>334489.35</v>
      </c>
      <c r="D24" s="19">
        <f>C24/$C$125</f>
        <v/>
      </c>
      <c r="E24" s="20" t="inlineStr">
        <is>
          <t>7320154</t>
        </is>
      </c>
    </row>
    <row r="25">
      <c r="A25" s="41" t="n">
        <v>31177</v>
      </c>
      <c r="B25" s="2" t="inlineStr">
        <is>
          <t>GOLD FIELDS LTD COMMON STOCK ZAR 50</t>
        </is>
      </c>
      <c r="C25" s="18" t="n">
        <v>323313.91</v>
      </c>
      <c r="D25" s="19">
        <f>C25/$C$125</f>
        <v/>
      </c>
      <c r="E25" s="20" t="inlineStr">
        <is>
          <t>6280215</t>
        </is>
      </c>
    </row>
    <row r="26">
      <c r="A26" s="41" t="n">
        <v>81600</v>
      </c>
      <c r="B26" s="2" t="inlineStr">
        <is>
          <t>EMIRATES NBD BANK PJSC COMMON STOCK AED 1</t>
        </is>
      </c>
      <c r="C26" s="18" t="n">
        <v>318775.05</v>
      </c>
      <c r="D26" s="19">
        <f>C26/$C$125</f>
        <v/>
      </c>
      <c r="E26" s="20" t="inlineStr">
        <is>
          <t>B28PFX8</t>
        </is>
      </c>
    </row>
    <row r="27">
      <c r="A27" s="41" t="n">
        <v>22007</v>
      </c>
      <c r="B27" s="2" t="inlineStr">
        <is>
          <t>HALYK SAVINGS BANK OF KAZAKHSTAN JSC GDR USD</t>
        </is>
      </c>
      <c r="C27" s="18" t="n">
        <v>299237.44</v>
      </c>
      <c r="D27" s="19">
        <f>C27/$C$125</f>
        <v/>
      </c>
      <c r="E27" s="20" t="inlineStr">
        <is>
          <t>B1KDG41</t>
        </is>
      </c>
    </row>
    <row r="28">
      <c r="A28" s="41" t="n">
        <v>362649</v>
      </c>
      <c r="B28" s="2" t="inlineStr">
        <is>
          <t>LUKOIL PJSC COMMON STOCK RUB 0.025 RUB</t>
        </is>
      </c>
      <c r="C28" s="18" t="n">
        <v>162182.13</v>
      </c>
      <c r="D28" s="19">
        <f>C28/$C$125</f>
        <v/>
      </c>
      <c r="E28" s="20" t="inlineStr">
        <is>
          <t>2H6442S</t>
        </is>
      </c>
    </row>
    <row r="29">
      <c r="A29" s="41" t="n">
        <v>262047</v>
      </c>
      <c r="B29" s="2" t="inlineStr">
        <is>
          <t>LUKOIL PJSC COMMON STOCK RUB</t>
        </is>
      </c>
      <c r="C29" s="18" t="n">
        <v>129183.26</v>
      </c>
      <c r="D29" s="19">
        <f>C29/$C$125</f>
        <v/>
      </c>
      <c r="E29" s="20" t="inlineStr">
        <is>
          <t>0H5797S</t>
        </is>
      </c>
    </row>
    <row r="30">
      <c r="A30" s="28" t="n"/>
      <c r="B30" s="27" t="inlineStr">
        <is>
          <t>Subtotal</t>
        </is>
      </c>
      <c r="C30" s="29">
        <f>+C29+C28</f>
        <v/>
      </c>
      <c r="D30" s="31">
        <f>C30/$C$128</f>
        <v/>
      </c>
      <c r="E30" s="20" t="n"/>
    </row>
    <row r="31">
      <c r="A31" s="41" t="n">
        <v>95185</v>
      </c>
      <c r="B31" s="2" t="inlineStr">
        <is>
          <t>SANLAM LTD COMMON STOCK ZAR 1</t>
        </is>
      </c>
      <c r="C31" s="33" t="n">
        <v>287871.41</v>
      </c>
      <c r="D31" s="19">
        <f>C31/$C$125</f>
        <v/>
      </c>
      <c r="E31" s="20" t="inlineStr">
        <is>
          <t>B0L6750</t>
        </is>
      </c>
    </row>
    <row r="32">
      <c r="A32" s="41" t="n">
        <v>11953</v>
      </c>
      <c r="B32" s="2" t="inlineStr">
        <is>
          <t>JUMBO SA COMMON STOCK EUR 0.88</t>
        </is>
      </c>
      <c r="C32" s="33" t="n">
        <v>276501.64</v>
      </c>
      <c r="D32" s="19">
        <f>C32/$C$125</f>
        <v/>
      </c>
      <c r="E32" s="20" t="inlineStr">
        <is>
          <t>7243530</t>
        </is>
      </c>
    </row>
    <row r="33">
      <c r="A33" s="28" t="n">
        <v>23944</v>
      </c>
      <c r="B33" s="2" t="inlineStr">
        <is>
          <t>SHOPRITE HOLDINGS LTD COMMON STOCK ZAR 113.4</t>
        </is>
      </c>
      <c r="C33" s="18" t="n">
        <v>254670.03</v>
      </c>
      <c r="D33" s="19">
        <f>C33/$C$125</f>
        <v/>
      </c>
      <c r="E33" s="20" t="inlineStr">
        <is>
          <t>6801575</t>
        </is>
      </c>
    </row>
    <row r="34">
      <c r="A34" s="28" t="n">
        <v>38596</v>
      </c>
      <c r="B34" s="2" t="inlineStr">
        <is>
          <t>RIYAD BANK COMMON STOCK SAR 10</t>
        </is>
      </c>
      <c r="C34" s="18" t="n">
        <v>253024.93</v>
      </c>
      <c r="D34" s="19">
        <f>C34/$C$125</f>
        <v/>
      </c>
      <c r="E34" s="20" t="inlineStr">
        <is>
          <t>B12LZW4</t>
        </is>
      </c>
    </row>
    <row r="35">
      <c r="A35" s="41" t="n">
        <v>40671</v>
      </c>
      <c r="B35" s="2" t="inlineStr">
        <is>
          <t>NATIONAL BANK OF GREECE SA COMMON STOCK EUR 1</t>
        </is>
      </c>
      <c r="C35" s="18" t="n">
        <v>251418.32</v>
      </c>
      <c r="D35" s="19">
        <f>C35/$C$125</f>
        <v/>
      </c>
      <c r="E35" s="20" t="inlineStr">
        <is>
          <t>BG087C6</t>
        </is>
      </c>
    </row>
    <row r="36">
      <c r="A36" s="28" t="n">
        <v>24876</v>
      </c>
      <c r="B36" s="2" t="inlineStr">
        <is>
          <t>POWSZECHNY ZAKLAD UBEZPIECZEN SA COMMON STOCK PLN 0.1</t>
        </is>
      </c>
      <c r="C36" s="18" t="n">
        <v>242176.98</v>
      </c>
      <c r="D36" s="19">
        <f>C36/$C$125</f>
        <v/>
      </c>
      <c r="E36" s="20" t="inlineStr">
        <is>
          <t>B63DG21</t>
        </is>
      </c>
    </row>
    <row r="37">
      <c r="A37" s="28" t="n">
        <v>35367</v>
      </c>
      <c r="B37" s="2" t="inlineStr">
        <is>
          <t>ABSA GROUP LTD</t>
        </is>
      </c>
      <c r="C37" s="18" t="n">
        <v>238364.68</v>
      </c>
      <c r="D37" s="19">
        <f>C37/$C$125</f>
        <v/>
      </c>
      <c r="E37" s="20" t="inlineStr">
        <is>
          <t>BFX05H3</t>
        </is>
      </c>
    </row>
    <row r="38">
      <c r="A38" s="28" t="n">
        <v>11178</v>
      </c>
      <c r="B38" s="2" t="inlineStr">
        <is>
          <t>RICHTER GEDEON NYRT COMMON STOCK HUF 100</t>
        </is>
      </c>
      <c r="C38" s="18" t="n">
        <v>235160.05</v>
      </c>
      <c r="D38" s="19">
        <f>C38/$C$125</f>
        <v/>
      </c>
      <c r="E38" s="20" t="inlineStr">
        <is>
          <t>BC9ZH86</t>
        </is>
      </c>
    </row>
    <row r="39">
      <c r="A39" s="28" t="n">
        <v>4992</v>
      </c>
      <c r="B39" s="2" t="inlineStr">
        <is>
          <t>BANK OF GEORGIA GROUP PLC COMMON STOCK GBP 1</t>
        </is>
      </c>
      <c r="C39" s="18" t="n">
        <v>234873.6</v>
      </c>
      <c r="D39" s="19">
        <f>C39/$C$125</f>
        <v/>
      </c>
      <c r="E39" s="20" t="inlineStr">
        <is>
          <t>BF4HYT8</t>
        </is>
      </c>
    </row>
    <row r="40">
      <c r="A40" s="28" t="n">
        <v>123763</v>
      </c>
      <c r="B40" s="2" t="inlineStr">
        <is>
          <t>ABU DHABI COMMERCIAL BANK PJSC COMMON STOCK AED 1</t>
        </is>
      </c>
      <c r="C40" s="18" t="n">
        <v>227758.44</v>
      </c>
      <c r="D40" s="19">
        <f>C40/$C$125</f>
        <v/>
      </c>
      <c r="E40" s="20" t="inlineStr">
        <is>
          <t>6545464</t>
        </is>
      </c>
    </row>
    <row r="41">
      <c r="A41" s="28" t="n">
        <v>8860909</v>
      </c>
      <c r="B41" s="2" t="inlineStr">
        <is>
          <t>GAZPROM PJSC COMMON STOCK RUB</t>
        </is>
      </c>
      <c r="C41" s="18" t="n">
        <v>201734.1</v>
      </c>
      <c r="D41" s="19">
        <f>C41/$C$125</f>
        <v/>
      </c>
      <c r="E41" s="20" t="inlineStr">
        <is>
          <t>0H5796S</t>
        </is>
      </c>
    </row>
    <row r="42">
      <c r="A42" s="28" t="n">
        <v>5365084</v>
      </c>
      <c r="B42" s="2" t="inlineStr">
        <is>
          <t>GAZPROM PJSC ADR</t>
        </is>
      </c>
      <c r="C42" s="18" t="n">
        <v>24659.16</v>
      </c>
      <c r="D42" s="19">
        <f>C42/$C$125</f>
        <v/>
      </c>
      <c r="E42" s="20" t="inlineStr">
        <is>
          <t>0H6364S</t>
        </is>
      </c>
    </row>
    <row r="43">
      <c r="A43" s="28" t="n"/>
      <c r="B43" s="27" t="inlineStr">
        <is>
          <t>Subtotal</t>
        </is>
      </c>
      <c r="C43" s="29">
        <f>+C42+C41</f>
        <v/>
      </c>
      <c r="D43" s="31">
        <f>C43/$C$128</f>
        <v/>
      </c>
      <c r="E43" s="38" t="n"/>
    </row>
    <row r="44">
      <c r="A44" s="41" t="n">
        <v>19263</v>
      </c>
      <c r="B44" s="2" t="inlineStr">
        <is>
          <t>ETIHAD ETISALAT CO COMMON STOCK SAR 10</t>
        </is>
      </c>
      <c r="C44" s="18" t="n">
        <v>224548.26</v>
      </c>
      <c r="D44" s="19">
        <f>C44/$C$125</f>
        <v/>
      </c>
      <c r="E44" s="38" t="inlineStr">
        <is>
          <t>B12LR51</t>
        </is>
      </c>
    </row>
    <row r="45">
      <c r="A45" s="41" t="n">
        <v>7421</v>
      </c>
      <c r="B45" s="2" t="inlineStr">
        <is>
          <t>TBC BANK GROUP PLC COMMON STOCK GBP 1</t>
        </is>
      </c>
      <c r="C45" s="18" t="n">
        <v>219290.55</v>
      </c>
      <c r="D45" s="19">
        <f>C45/$C$125</f>
        <v/>
      </c>
      <c r="E45" s="38" t="inlineStr">
        <is>
          <t>BYT1830</t>
        </is>
      </c>
    </row>
    <row r="46">
      <c r="A46" s="41" t="n">
        <v>61281</v>
      </c>
      <c r="B46" s="2" t="inlineStr">
        <is>
          <t>PIRAEUS FINANCIAL HOLDINGS SA COMMON STOCK EUR 0.93</t>
        </is>
      </c>
      <c r="C46" s="18" t="n">
        <v>211797.74</v>
      </c>
      <c r="D46" s="19">
        <f>C46/$C$125</f>
        <v/>
      </c>
      <c r="E46" s="38" t="inlineStr">
        <is>
          <t>BNC0DB0</t>
        </is>
      </c>
    </row>
    <row r="47">
      <c r="A47" s="41" t="n">
        <v>14455036</v>
      </c>
      <c r="B47" s="2" t="inlineStr">
        <is>
          <t>SBERBANK OF RUSSIA PJSC PREFERENCE RUB 3</t>
        </is>
      </c>
      <c r="C47" s="18" t="n">
        <v>181542.31</v>
      </c>
      <c r="D47" s="19">
        <f>C47/$C$125</f>
        <v/>
      </c>
      <c r="E47" s="38" t="inlineStr">
        <is>
          <t>0H5856S</t>
        </is>
      </c>
    </row>
    <row r="48">
      <c r="A48" s="41" t="n">
        <v>2355925</v>
      </c>
      <c r="B48" s="2" t="inlineStr">
        <is>
          <t>SBERBANK OF RUSSIA PJSC</t>
        </is>
      </c>
      <c r="C48" s="18" t="n">
        <v>29374.47</v>
      </c>
      <c r="D48" s="19">
        <f>C48/$C$125</f>
        <v/>
      </c>
      <c r="E48" s="38" t="inlineStr">
        <is>
          <t>0H5855S</t>
        </is>
      </c>
    </row>
    <row r="49">
      <c r="A49" s="41" t="n"/>
      <c r="B49" s="27" t="inlineStr">
        <is>
          <t>Subtotal</t>
        </is>
      </c>
      <c r="C49" s="29">
        <f>+C48+C47</f>
        <v/>
      </c>
      <c r="D49" s="31">
        <f>C49/$C$128</f>
        <v/>
      </c>
      <c r="E49" s="38" t="n"/>
    </row>
    <row r="50">
      <c r="A50" s="28" t="n">
        <v>127190</v>
      </c>
      <c r="B50" s="2" t="inlineStr">
        <is>
          <t>EUROBANK ERGASIAS SERVICES AND HOLDINGS SA COMMON STOCK EUR 0.22</t>
        </is>
      </c>
      <c r="C50" s="18" t="n">
        <v>207826.27</v>
      </c>
      <c r="D50" s="19">
        <f>C50/$C$125</f>
        <v/>
      </c>
      <c r="E50" s="38" t="inlineStr">
        <is>
          <t>BYZ43T4</t>
        </is>
      </c>
    </row>
    <row r="51">
      <c r="A51" s="28" t="n">
        <v>9203</v>
      </c>
      <c r="B51" s="2" t="inlineStr">
        <is>
          <t>MOTOR OIL HELLAS CORINTH REFINERIES SA COMMON STOCK EUR 0.75</t>
        </is>
      </c>
      <c r="C51" s="18" t="n">
        <v>207691.31</v>
      </c>
      <c r="D51" s="19">
        <f>C51/$C$125</f>
        <v/>
      </c>
      <c r="E51" s="38" t="inlineStr">
        <is>
          <t>5996234</t>
        </is>
      </c>
    </row>
    <row r="52">
      <c r="A52" s="28" t="n">
        <v>12128</v>
      </c>
      <c r="B52" s="2" t="inlineStr">
        <is>
          <t>NOVA LJUBLJANSKA BANKA DD GDR EUR</t>
        </is>
      </c>
      <c r="C52" s="18" t="n">
        <v>205950.95</v>
      </c>
      <c r="D52" s="19">
        <f>C52/$C$125</f>
        <v/>
      </c>
      <c r="E52" s="38" t="inlineStr">
        <is>
          <t>BGRPD22</t>
        </is>
      </c>
    </row>
    <row r="53">
      <c r="A53" s="28" t="n">
        <v>12384</v>
      </c>
      <c r="B53" s="2" t="inlineStr">
        <is>
          <t>SAUDI BASIC INDUSTRIES CORP COMMON STOCK SAR 10</t>
        </is>
      </c>
      <c r="C53" s="18" t="n">
        <v>205445.35</v>
      </c>
      <c r="D53" s="19">
        <f>C53/$C$125</f>
        <v/>
      </c>
      <c r="E53" s="38" t="inlineStr">
        <is>
          <t>B1324D0</t>
        </is>
      </c>
    </row>
    <row r="54">
      <c r="A54" s="28" t="n">
        <v>172191</v>
      </c>
      <c r="B54" s="2" t="inlineStr">
        <is>
          <t>ALDAR PROPERTIES PJSC COMMON STOCK AED 1</t>
        </is>
      </c>
      <c r="C54" s="18" t="n">
        <v>204211.21</v>
      </c>
      <c r="D54" s="19">
        <f>C54/$C$125</f>
        <v/>
      </c>
      <c r="E54" s="38" t="inlineStr">
        <is>
          <t>B0LX3Y2</t>
        </is>
      </c>
    </row>
    <row r="55">
      <c r="A55" s="28" t="n">
        <v>250715</v>
      </c>
      <c r="B55" s="2" t="inlineStr">
        <is>
          <t>ADNOC DRILLING CO PJSC COMMON STOCK AED</t>
        </is>
      </c>
      <c r="C55" s="18" t="n">
        <v>198584.65</v>
      </c>
      <c r="D55" s="19">
        <f>C55/$C$125</f>
        <v/>
      </c>
      <c r="E55" s="38" t="inlineStr">
        <is>
          <t>BN12D39</t>
        </is>
      </c>
    </row>
    <row r="56">
      <c r="A56" s="28" t="n">
        <v>144384</v>
      </c>
      <c r="B56" s="2" t="inlineStr">
        <is>
          <t>DUBAI ISLAMIC BANK PJSC COMMON STOCK AED 1</t>
        </is>
      </c>
      <c r="C56" s="18" t="n">
        <v>198580.89</v>
      </c>
      <c r="D56" s="19">
        <f>C56/$C$125</f>
        <v/>
      </c>
      <c r="E56" s="38" t="inlineStr">
        <is>
          <t>6283452</t>
        </is>
      </c>
    </row>
    <row r="57">
      <c r="A57" s="41" t="n">
        <v>2401</v>
      </c>
      <c r="B57" s="2" t="inlineStr">
        <is>
          <t>JSC KASPI.KZ GDR-REG S</t>
        </is>
      </c>
      <c r="C57" s="33" t="n">
        <v>195504.17</v>
      </c>
      <c r="D57" s="19">
        <f>C57/$C$125</f>
        <v/>
      </c>
      <c r="E57" s="38" t="inlineStr">
        <is>
          <t>BMXZ8G7</t>
        </is>
      </c>
    </row>
    <row r="58">
      <c r="A58" s="28" t="n">
        <v>30929</v>
      </c>
      <c r="B58" s="2" t="inlineStr">
        <is>
          <t>MOL HUNGARIAN OIL &amp; GAS PLC COMMON STOCK HUF 125</t>
        </is>
      </c>
      <c r="C58" s="18" t="n">
        <v>194462.87</v>
      </c>
      <c r="D58" s="19">
        <f>C58/$C$125</f>
        <v/>
      </c>
      <c r="E58" s="38" t="inlineStr">
        <is>
          <t>BD5ZXH8</t>
        </is>
      </c>
    </row>
    <row r="59">
      <c r="A59" s="28" t="n">
        <v>7386</v>
      </c>
      <c r="B59" s="2" t="inlineStr">
        <is>
          <t>MOUWASAT MEDICAL SERVICES CO COMMON STOCK SAR 10</t>
        </is>
      </c>
      <c r="C59" s="18" t="n">
        <v>192125.54</v>
      </c>
      <c r="D59" s="19">
        <f>C59/$C$125</f>
        <v/>
      </c>
      <c r="E59" s="38" t="inlineStr">
        <is>
          <t>B403QG4</t>
        </is>
      </c>
    </row>
    <row r="60">
      <c r="A60" s="28" t="n">
        <v>8057</v>
      </c>
      <c r="B60" s="2" t="inlineStr">
        <is>
          <t>RIYADH CABLES GROUP CO COMMON STOCK SAR 10</t>
        </is>
      </c>
      <c r="C60" s="18" t="n">
        <v>190218.18</v>
      </c>
      <c r="D60" s="19">
        <f>C60/$C$125</f>
        <v/>
      </c>
      <c r="E60" s="38" t="inlineStr">
        <is>
          <t>BNBPXW7</t>
        </is>
      </c>
    </row>
    <row r="61">
      <c r="A61" s="28" t="n">
        <v>9725</v>
      </c>
      <c r="B61" s="2" t="inlineStr">
        <is>
          <t>UNITED INTERNATIONAL TRANSPORTATION CO COMMON STOCK SAR 10</t>
        </is>
      </c>
      <c r="C61" s="18" t="n">
        <v>181423.49</v>
      </c>
      <c r="D61" s="19">
        <f>C61/$C$125</f>
        <v/>
      </c>
      <c r="E61" s="38" t="inlineStr">
        <is>
          <t>B2493D0</t>
        </is>
      </c>
    </row>
    <row r="62">
      <c r="A62" s="28" t="n">
        <v>50</v>
      </c>
      <c r="B62" s="2" t="inlineStr">
        <is>
          <t>LPP SA COMMON STOCK PLN 2</t>
        </is>
      </c>
      <c r="C62" s="18" t="n">
        <v>177817.63</v>
      </c>
      <c r="D62" s="19">
        <f>C62/$C$125</f>
        <v/>
      </c>
      <c r="E62" s="38" t="inlineStr">
        <is>
          <t>7127979</t>
        </is>
      </c>
    </row>
    <row r="63">
      <c r="A63" s="28" t="n">
        <v>20423</v>
      </c>
      <c r="B63" s="2" t="inlineStr">
        <is>
          <t>SAUDI AWWAL BANK COMMON STOCK SAR 10</t>
        </is>
      </c>
      <c r="C63" s="18" t="n">
        <v>176507.85</v>
      </c>
      <c r="D63" s="19">
        <f>C63/$C$125</f>
        <v/>
      </c>
      <c r="E63" s="38" t="inlineStr">
        <is>
          <t>B12LSY7</t>
        </is>
      </c>
    </row>
    <row r="64">
      <c r="A64" s="28" t="n">
        <v>5598</v>
      </c>
      <c r="B64" s="2" t="inlineStr">
        <is>
          <t>MYTILINEOS SA COMMON STOCK EUR 0.97</t>
        </is>
      </c>
      <c r="C64" s="18" t="n">
        <v>172404.86</v>
      </c>
      <c r="D64" s="19">
        <f>C64/$C$125</f>
        <v/>
      </c>
      <c r="E64" s="38" t="inlineStr">
        <is>
          <t>5898664</t>
        </is>
      </c>
    </row>
    <row r="65">
      <c r="A65" s="28" t="n">
        <v>196322</v>
      </c>
      <c r="B65" s="2" t="inlineStr">
        <is>
          <t>QATAR GAS TRANSPORT CO LTD COMMON STOCK QAR 1</t>
        </is>
      </c>
      <c r="C65" s="18" t="n">
        <v>170461.51</v>
      </c>
      <c r="D65" s="19">
        <f>C65/$C$125</f>
        <v/>
      </c>
      <c r="E65" s="38" t="inlineStr">
        <is>
          <t>B0MLBC9</t>
        </is>
      </c>
    </row>
    <row r="66">
      <c r="A66" s="28" t="n">
        <v>764</v>
      </c>
      <c r="B66" s="2" t="inlineStr">
        <is>
          <t>ELM CO COMMON STOCK SAR 10</t>
        </is>
      </c>
      <c r="C66" s="18" t="n">
        <v>169583.02</v>
      </c>
      <c r="D66" s="19">
        <f>C66/$C$125</f>
        <v/>
      </c>
      <c r="E66" s="38" t="inlineStr">
        <is>
          <t>BNYDSH8</t>
        </is>
      </c>
    </row>
    <row r="67">
      <c r="A67" s="28" t="n">
        <v>13624</v>
      </c>
      <c r="B67" s="2" t="inlineStr">
        <is>
          <t>CLICKS GROUP LTD COMMON STOCK ZAR 1</t>
        </is>
      </c>
      <c r="C67" s="18" t="n">
        <v>168390.53</v>
      </c>
      <c r="D67" s="19">
        <f>C67/$C$125</f>
        <v/>
      </c>
      <c r="E67" s="38" t="inlineStr">
        <is>
          <t>6105578</t>
        </is>
      </c>
    </row>
    <row r="68">
      <c r="A68" s="28" t="n">
        <v>247235</v>
      </c>
      <c r="B68" s="2" t="inlineStr">
        <is>
          <t>ADNOC GAS PLC</t>
        </is>
      </c>
      <c r="C68" s="18" t="n">
        <v>167092.57</v>
      </c>
      <c r="D68" s="19">
        <f>C68/$C$125</f>
        <v/>
      </c>
      <c r="E68" s="38" t="inlineStr">
        <is>
          <t>BPJLW35</t>
        </is>
      </c>
    </row>
    <row r="69">
      <c r="A69" s="28" t="n">
        <v>36992</v>
      </c>
      <c r="B69" s="2" t="inlineStr">
        <is>
          <t>BANCA TRANSILVANIA SA COMMON STOCK RON 1</t>
        </is>
      </c>
      <c r="C69" s="18" t="n">
        <v>165559.42</v>
      </c>
      <c r="D69" s="19">
        <f>C69/$C$125</f>
        <v/>
      </c>
      <c r="E69" s="38" t="inlineStr">
        <is>
          <t>5393307</t>
        </is>
      </c>
    </row>
    <row r="70">
      <c r="A70" s="28" t="n">
        <v>39150</v>
      </c>
      <c r="B70" s="2" t="inlineStr">
        <is>
          <t>ADES HOLDING CO COMMON STOCK SAR 1</t>
        </is>
      </c>
      <c r="C70" s="18" t="n">
        <v>164887.56</v>
      </c>
      <c r="D70" s="19">
        <f>C70/$C$125</f>
        <v/>
      </c>
      <c r="E70" s="38" t="inlineStr">
        <is>
          <t>BR56KM3</t>
        </is>
      </c>
    </row>
    <row r="71">
      <c r="A71" s="28" t="n">
        <v>49840</v>
      </c>
      <c r="B71" s="2" t="inlineStr">
        <is>
          <t>JARIR MARKETING CO COMMON STOCK SAR 1</t>
        </is>
      </c>
      <c r="C71" s="18" t="n">
        <v>162843.48</v>
      </c>
      <c r="D71" s="19">
        <f>C71/$C$125</f>
        <v/>
      </c>
      <c r="E71" s="38" t="inlineStr">
        <is>
          <t>B128FM5</t>
        </is>
      </c>
    </row>
    <row r="72">
      <c r="A72" s="28" t="n">
        <v>2940</v>
      </c>
      <c r="B72" s="2" t="inlineStr">
        <is>
          <t>ARABIAN CONTRACTING SERVICES CO COMMON STOCK SAR</t>
        </is>
      </c>
      <c r="C72" s="18" t="n">
        <v>162743.14</v>
      </c>
      <c r="D72" s="19">
        <f>C72/$C$125</f>
        <v/>
      </c>
      <c r="E72" s="38" t="inlineStr">
        <is>
          <t>BP4DC81</t>
        </is>
      </c>
    </row>
    <row r="73">
      <c r="A73" s="28" t="n">
        <v>11282</v>
      </c>
      <c r="B73" s="2" t="inlineStr">
        <is>
          <t>OPAP SA COMMON STOCK EUR 0.3</t>
        </is>
      </c>
      <c r="C73" s="18" t="n">
        <v>162147.21</v>
      </c>
      <c r="D73" s="19">
        <f>C73/$C$125</f>
        <v/>
      </c>
      <c r="E73" s="38" t="inlineStr">
        <is>
          <t>7107250</t>
        </is>
      </c>
    </row>
    <row r="74">
      <c r="A74" s="28" t="n">
        <v>16665</v>
      </c>
      <c r="B74" s="2" t="inlineStr">
        <is>
          <t>BIDVEST GROUP LTD/THE COMMON STOCK ZAR 5</t>
        </is>
      </c>
      <c r="C74" s="18" t="n">
        <v>160465.93</v>
      </c>
      <c r="D74" s="19">
        <f>C74/$C$125</f>
        <v/>
      </c>
      <c r="E74" s="38" t="inlineStr">
        <is>
          <t>6100089</t>
        </is>
      </c>
    </row>
    <row r="75">
      <c r="A75" s="28" t="n">
        <v>66726</v>
      </c>
      <c r="B75" s="2" t="inlineStr">
        <is>
          <t>ABU DHABI ISLAMIC BANK PJSC COMMON STOCK AED 1</t>
        </is>
      </c>
      <c r="C75" s="18" t="n">
        <v>159417.36</v>
      </c>
      <c r="D75" s="19">
        <f>C75/$C$125</f>
        <v/>
      </c>
      <c r="E75" s="38" t="inlineStr">
        <is>
          <t>6001728</t>
        </is>
      </c>
    </row>
    <row r="76">
      <c r="A76" s="28" t="n">
        <v>1892</v>
      </c>
      <c r="B76" s="2" t="inlineStr">
        <is>
          <t>KRUK SA COMMON STOCK PLN 1</t>
        </is>
      </c>
      <c r="C76" s="18" t="n">
        <v>157601.21</v>
      </c>
      <c r="D76" s="19">
        <f>C76/$C$125</f>
        <v/>
      </c>
      <c r="E76" s="38" t="inlineStr">
        <is>
          <t>B4PTLY0</t>
        </is>
      </c>
    </row>
    <row r="77">
      <c r="A77" s="28" t="n">
        <v>18169</v>
      </c>
      <c r="B77" s="2" t="inlineStr">
        <is>
          <t>HUMANSOFT HOLDING CO KSC COMMON STOCK KWD 100</t>
        </is>
      </c>
      <c r="C77" s="18" t="n">
        <v>157336.92</v>
      </c>
      <c r="D77" s="19">
        <f>C77/$C$125</f>
        <v/>
      </c>
      <c r="E77" s="38" t="inlineStr">
        <is>
          <t>B13BYX7</t>
        </is>
      </c>
    </row>
    <row r="78">
      <c r="A78" s="28" t="n">
        <v>105464</v>
      </c>
      <c r="B78" s="2" t="inlineStr">
        <is>
          <t>ALPHA SERVICES AND HOLDINGS SA COMMON STOCK EUR 0.29</t>
        </is>
      </c>
      <c r="C78" s="18" t="n">
        <v>156717.74</v>
      </c>
      <c r="D78" s="19">
        <f>C78/$C$125</f>
        <v/>
      </c>
      <c r="E78" s="38" t="inlineStr">
        <is>
          <t>BZ1MXR7</t>
        </is>
      </c>
    </row>
    <row r="79">
      <c r="A79" s="28" t="n">
        <v>5652</v>
      </c>
      <c r="B79" s="2" t="inlineStr">
        <is>
          <t>KOMERCNI BANKA AS COMMON STOCK CZK 100</t>
        </is>
      </c>
      <c r="C79" s="18" t="n">
        <v>155814.53</v>
      </c>
      <c r="D79" s="19">
        <f>C79/$C$125</f>
        <v/>
      </c>
      <c r="E79" s="38" t="inlineStr">
        <is>
          <t>4519449</t>
        </is>
      </c>
    </row>
    <row r="80">
      <c r="A80" s="28" t="n">
        <v>1268490</v>
      </c>
      <c r="B80" s="2" t="inlineStr">
        <is>
          <t>NOVATEK PJSC COMMON STOCK RUB 0.1</t>
        </is>
      </c>
      <c r="C80" s="18" t="n">
        <v>139689.22</v>
      </c>
      <c r="D80" s="19">
        <f>C80/$C$125</f>
        <v/>
      </c>
      <c r="E80" s="38" t="inlineStr">
        <is>
          <t>2H6464S</t>
        </is>
      </c>
    </row>
    <row r="81">
      <c r="A81" s="28" t="n">
        <v>103572</v>
      </c>
      <c r="B81" s="2" t="inlineStr">
        <is>
          <t>NOVATEK PJSC COMMON STOCK RUB 0.1</t>
        </is>
      </c>
      <c r="C81" s="18" t="n">
        <v>12572.7</v>
      </c>
      <c r="D81" s="19">
        <f>C81/$C$125</f>
        <v/>
      </c>
      <c r="E81" s="38" t="inlineStr">
        <is>
          <t>0H5828S</t>
        </is>
      </c>
    </row>
    <row r="82">
      <c r="A82" s="28" t="n"/>
      <c r="B82" s="27" t="inlineStr">
        <is>
          <t>Subtotal</t>
        </is>
      </c>
      <c r="C82" s="29">
        <f>+C81+C80</f>
        <v/>
      </c>
      <c r="D82" s="31">
        <f>C82/$C$128</f>
        <v/>
      </c>
      <c r="E82" s="38" t="n"/>
    </row>
    <row r="83">
      <c r="A83" s="28" t="n">
        <v>292031</v>
      </c>
      <c r="B83" s="2" t="inlineStr">
        <is>
          <t>DUBAI ELECTRICITY &amp; WATER AU</t>
        </is>
      </c>
      <c r="C83" s="18" t="n">
        <v>151482.87</v>
      </c>
      <c r="D83" s="19">
        <f>C83/$C$125</f>
        <v/>
      </c>
      <c r="E83" s="38" t="inlineStr">
        <is>
          <t>BJLTVJ4</t>
        </is>
      </c>
    </row>
    <row r="84">
      <c r="A84" s="41" t="n">
        <v>12548</v>
      </c>
      <c r="B84" s="2" t="inlineStr">
        <is>
          <t>HELLENIC TELECOMMUNICATIONS ORGANIZATION SA COMMON STOCK EUR 2.83</t>
        </is>
      </c>
      <c r="C84" s="33" t="n">
        <v>149855.96</v>
      </c>
      <c r="D84" s="19">
        <f>C84/$C$125</f>
        <v/>
      </c>
      <c r="E84" s="38" t="inlineStr">
        <is>
          <t>5051605</t>
        </is>
      </c>
    </row>
    <row r="85">
      <c r="A85" s="28" t="n">
        <v>60427</v>
      </c>
      <c r="B85" s="2" t="inlineStr">
        <is>
          <t>OOREDOO QPSC COMMON STOCK QAR 1</t>
        </is>
      </c>
      <c r="C85" s="18" t="n">
        <v>149175.49</v>
      </c>
      <c r="D85" s="19">
        <f>C85/$C$125</f>
        <v/>
      </c>
      <c r="E85" s="38" t="inlineStr">
        <is>
          <t>6158174</t>
        </is>
      </c>
    </row>
    <row r="86">
      <c r="A86" s="28" t="n">
        <v>49360</v>
      </c>
      <c r="B86" s="2" t="inlineStr">
        <is>
          <t>FIRST ABU DHABI BANK PJSC COMMON STOCK AED 1</t>
        </is>
      </c>
      <c r="C86" s="18" t="n">
        <v>144062.97</v>
      </c>
      <c r="D86" s="19">
        <f>C86/$C$125</f>
        <v/>
      </c>
      <c r="E86" s="38" t="inlineStr">
        <is>
          <t>6624471</t>
        </is>
      </c>
    </row>
    <row r="87">
      <c r="A87" s="28" t="n">
        <v>187852</v>
      </c>
      <c r="B87" s="2" t="inlineStr">
        <is>
          <t>SALIK CO PJSC COMMON STOCK AED 0.01</t>
        </is>
      </c>
      <c r="C87" s="18" t="n">
        <v>140301.67</v>
      </c>
      <c r="D87" s="19">
        <f>C87/$C$125</f>
        <v/>
      </c>
      <c r="E87" s="38" t="inlineStr">
        <is>
          <t>BJN5952</t>
        </is>
      </c>
    </row>
    <row r="88">
      <c r="A88" s="28" t="n">
        <v>9355</v>
      </c>
      <c r="B88" s="2" t="inlineStr">
        <is>
          <t>ANGLOGOLD ASHANTI PLC ZAR</t>
        </is>
      </c>
      <c r="C88" s="18" t="n">
        <v>139169.52</v>
      </c>
      <c r="D88" s="19">
        <f>C88/$C$125</f>
        <v/>
      </c>
      <c r="E88" s="38" t="inlineStr">
        <is>
          <t>BRF6FX9</t>
        </is>
      </c>
    </row>
    <row r="89">
      <c r="A89" s="28" t="n">
        <v>7428</v>
      </c>
      <c r="B89" s="2" t="inlineStr">
        <is>
          <t>BID CORP LTD COMMON STOCK ZAR</t>
        </is>
      </c>
      <c r="C89" s="18" t="n">
        <v>137347.61</v>
      </c>
      <c r="D89" s="19">
        <f>C89/$C$125</f>
        <v/>
      </c>
      <c r="E89" s="38" t="inlineStr">
        <is>
          <t>BZBFKT7</t>
        </is>
      </c>
    </row>
    <row r="90">
      <c r="A90" s="28" t="n">
        <v>37161</v>
      </c>
      <c r="B90" s="2" t="inlineStr">
        <is>
          <t>AVI LTD COMMON STOCK ZAR 5</t>
        </is>
      </c>
      <c r="C90" s="18" t="n">
        <v>136644.27</v>
      </c>
      <c r="D90" s="19">
        <f>C90/$C$125</f>
        <v/>
      </c>
      <c r="E90" s="38" t="inlineStr">
        <is>
          <t>6040958</t>
        </is>
      </c>
    </row>
    <row r="91">
      <c r="A91" s="28" t="n">
        <v>71192</v>
      </c>
      <c r="B91" s="2" t="inlineStr">
        <is>
          <t>MMC NORILSK NICKEL PJSC COMMON STOCK RUB 1</t>
        </is>
      </c>
      <c r="C91" s="18" t="n">
        <v>136037.67</v>
      </c>
      <c r="D91" s="19">
        <f>C91/$C$125</f>
        <v/>
      </c>
      <c r="E91" s="38" t="inlineStr">
        <is>
          <t>0H5804S</t>
        </is>
      </c>
    </row>
    <row r="92">
      <c r="A92" s="28" t="n">
        <v>74864</v>
      </c>
      <c r="B92" s="2" t="inlineStr">
        <is>
          <t>MAGYAR TELEKOM TELECOMMUNICATIONS PLC</t>
        </is>
      </c>
      <c r="C92" s="18" t="n">
        <v>134369.27</v>
      </c>
      <c r="D92" s="19">
        <f>C92/$C$125</f>
        <v/>
      </c>
      <c r="E92" s="38" t="inlineStr">
        <is>
          <t>4577469</t>
        </is>
      </c>
    </row>
    <row r="93">
      <c r="A93" s="28" t="n">
        <v>2904</v>
      </c>
      <c r="B93" s="2" t="inlineStr">
        <is>
          <t>LEEJAM SPORTS CO JSC COMMON STOCK SAR 10</t>
        </is>
      </c>
      <c r="C93" s="18" t="n">
        <v>131856.92</v>
      </c>
      <c r="D93" s="19">
        <f>C93/$C$125</f>
        <v/>
      </c>
      <c r="E93" s="38" t="inlineStr">
        <is>
          <t>BF12ZV5</t>
        </is>
      </c>
    </row>
    <row r="94">
      <c r="A94" s="28" t="n">
        <v>3428</v>
      </c>
      <c r="B94" s="2" t="inlineStr">
        <is>
          <t>ALDREES PETROLEUM AND TRANSPORT SERVICES CO COMMON STOCK SAR 10</t>
        </is>
      </c>
      <c r="C94" s="18" t="n">
        <v>130358.09</v>
      </c>
      <c r="D94" s="19">
        <f>C94/$C$125</f>
        <v/>
      </c>
      <c r="E94" s="38" t="inlineStr">
        <is>
          <t>B128FF8</t>
        </is>
      </c>
    </row>
    <row r="95">
      <c r="A95" s="28" t="n">
        <v>3385</v>
      </c>
      <c r="B95" s="2" t="inlineStr">
        <is>
          <t>ARABIAN DRILLING CO COMMON STOCK SAR 10</t>
        </is>
      </c>
      <c r="C95" s="18" t="n">
        <v>124869.78</v>
      </c>
      <c r="D95" s="19">
        <f>C95/$C$125</f>
        <v/>
      </c>
      <c r="E95" s="38" t="inlineStr">
        <is>
          <t>BPNZYP9</t>
        </is>
      </c>
    </row>
    <row r="96">
      <c r="A96" s="28" t="n">
        <v>2526</v>
      </c>
      <c r="B96" s="2" t="inlineStr">
        <is>
          <t>BUPA ARABIA FOR COOPERATIVE INSURANCE CO COMMON STOCK SAR 10</t>
        </is>
      </c>
      <c r="C96" s="18" t="n">
        <v>121615.82</v>
      </c>
      <c r="D96" s="19">
        <f>C96/$C$125</f>
        <v/>
      </c>
      <c r="E96" s="38" t="inlineStr">
        <is>
          <t>B2RLCR0</t>
        </is>
      </c>
    </row>
    <row r="97">
      <c r="A97" s="28" t="n">
        <v>34487</v>
      </c>
      <c r="B97" s="2" t="inlineStr">
        <is>
          <t>MONETA MONEY BANK AS COMMON STOCK CZK 20</t>
        </is>
      </c>
      <c r="C97" s="18" t="n">
        <v>120314.22</v>
      </c>
      <c r="D97" s="19">
        <f>C97/$C$125</f>
        <v/>
      </c>
      <c r="E97" s="38" t="inlineStr">
        <is>
          <t>BD3CQ16</t>
        </is>
      </c>
    </row>
    <row r="98">
      <c r="A98" s="28" t="n">
        <v>498960</v>
      </c>
      <c r="B98" s="2" t="inlineStr">
        <is>
          <t>AL ANSARI FINANCIAL SERVICES PJSC COMMON STOCK AED</t>
        </is>
      </c>
      <c r="C98" s="18" t="n">
        <v>112764.54</v>
      </c>
      <c r="D98" s="19">
        <f>C98/$C$125</f>
        <v/>
      </c>
      <c r="E98" s="38" t="inlineStr">
        <is>
          <t>BMWB101</t>
        </is>
      </c>
    </row>
    <row r="99">
      <c r="A99" s="28" t="n">
        <v>133931</v>
      </c>
      <c r="B99" s="2" t="inlineStr">
        <is>
          <t>ADNOC LOGISTICS &amp; SERVICES COMMON STOCK AED</t>
        </is>
      </c>
      <c r="C99" s="18" t="n">
        <v>112713.36</v>
      </c>
      <c r="D99" s="19">
        <f>C99/$C$125</f>
        <v/>
      </c>
      <c r="E99" s="38" t="inlineStr">
        <is>
          <t>BRBN103</t>
        </is>
      </c>
    </row>
    <row r="100">
      <c r="A100" s="28" t="n">
        <v>24782</v>
      </c>
      <c r="B100" s="2" t="inlineStr">
        <is>
          <t>ARABIAN CENTRES CO LTD COMMON STOCK SAR 10</t>
        </is>
      </c>
      <c r="C100" s="18" t="n">
        <v>110851.7</v>
      </c>
      <c r="D100" s="19">
        <f>C100/$C$125</f>
        <v/>
      </c>
      <c r="E100" s="38" t="inlineStr">
        <is>
          <t>BKBF694</t>
        </is>
      </c>
    </row>
    <row r="101">
      <c r="A101" s="28" t="n">
        <v>85179</v>
      </c>
      <c r="B101" s="2" t="inlineStr">
        <is>
          <t>TURKIYE SIGORTA AS COMMON STOCK TRY 1</t>
        </is>
      </c>
      <c r="C101" s="18" t="n">
        <v>107844.94</v>
      </c>
      <c r="D101" s="19">
        <f>C101/$C$125</f>
        <v/>
      </c>
      <c r="E101" s="38" t="inlineStr">
        <is>
          <t>B03MTD8</t>
        </is>
      </c>
    </row>
    <row r="102">
      <c r="A102" s="28" t="n">
        <v>2041744</v>
      </c>
      <c r="B102" s="2" t="inlineStr">
        <is>
          <t>ROSNEFT OIL CO PJSC COMMON STOCK RUB 0.01</t>
        </is>
      </c>
      <c r="C102" s="18" t="n">
        <v>60082.79</v>
      </c>
      <c r="D102" s="19">
        <f>C102/$C$125</f>
        <v/>
      </c>
      <c r="E102" s="38" t="inlineStr">
        <is>
          <t>0H5827S</t>
        </is>
      </c>
    </row>
    <row r="103">
      <c r="A103" s="28" t="n">
        <v>1677948</v>
      </c>
      <c r="B103" s="2" t="inlineStr">
        <is>
          <t>ROSNEFT OIL CO PJSC COMMON STOCK RUB</t>
        </is>
      </c>
      <c r="C103" s="18" t="n">
        <v>44848.04</v>
      </c>
      <c r="D103" s="19">
        <f>C103/$C$125</f>
        <v/>
      </c>
      <c r="E103" s="38" t="inlineStr">
        <is>
          <t>2H7674S</t>
        </is>
      </c>
    </row>
    <row r="104">
      <c r="A104" s="28" t="n"/>
      <c r="B104" s="27" t="inlineStr">
        <is>
          <t>Subtotal</t>
        </is>
      </c>
      <c r="C104" s="29">
        <f>+C103+C102</f>
        <v/>
      </c>
      <c r="D104" s="31">
        <f>C104/$C$128</f>
        <v/>
      </c>
      <c r="E104" s="38" t="n"/>
    </row>
    <row r="105">
      <c r="A105" s="28" t="n">
        <v>5361</v>
      </c>
      <c r="B105" s="2" t="inlineStr">
        <is>
          <t>RAIFFEISEN BANK INTERNATIONAL AG COMMON STOCK EUR 0</t>
        </is>
      </c>
      <c r="C105" s="18" t="n">
        <v>87781.27</v>
      </c>
      <c r="D105" s="19">
        <f>C105/$C$125</f>
        <v/>
      </c>
      <c r="E105" s="38" t="inlineStr">
        <is>
          <t>B0704T9</t>
        </is>
      </c>
    </row>
    <row r="106">
      <c r="A106" s="28" t="n">
        <v>2657</v>
      </c>
      <c r="B106" s="2" t="inlineStr">
        <is>
          <t>ERSTE GROUP BANK AG COMMON STOCK EUR 0</t>
        </is>
      </c>
      <c r="C106" s="18" t="n">
        <v>83965.82000000001</v>
      </c>
      <c r="D106" s="19">
        <f>C106/$C$125</f>
        <v/>
      </c>
      <c r="E106" s="38" t="inlineStr">
        <is>
          <t>5289837</t>
        </is>
      </c>
    </row>
    <row r="107">
      <c r="A107" s="28" t="n">
        <v>20379</v>
      </c>
      <c r="B107" s="2" t="inlineStr">
        <is>
          <t>MOTUS HOLDINGS LTD COMMON STOCK ZAR</t>
        </is>
      </c>
      <c r="C107" s="18" t="n">
        <v>77799.10000000001</v>
      </c>
      <c r="D107" s="19">
        <f>C107/$C$125</f>
        <v/>
      </c>
      <c r="E107" s="38" t="inlineStr">
        <is>
          <t>BDRN3H0</t>
        </is>
      </c>
    </row>
    <row r="108">
      <c r="A108" s="28" t="n">
        <v>3657350</v>
      </c>
      <c r="B108" s="2" t="inlineStr">
        <is>
          <t>NOVOLIPETSK STEEL PJSC COMMON STOCK RUB</t>
        </is>
      </c>
      <c r="C108" s="18" t="n">
        <v>59508.91</v>
      </c>
      <c r="D108" s="19">
        <f>C108/$C$125</f>
        <v/>
      </c>
      <c r="E108" s="38" t="inlineStr">
        <is>
          <t>2H7675S</t>
        </is>
      </c>
    </row>
    <row r="109">
      <c r="A109" s="28" t="n">
        <v>180877</v>
      </c>
      <c r="B109" s="2" t="inlineStr">
        <is>
          <t>MAGNIT PJSC COMMON STOCK RUB 0.01</t>
        </is>
      </c>
      <c r="C109" s="18" t="n">
        <v>53572.64</v>
      </c>
      <c r="D109" s="19">
        <f>C109/$C$125</f>
        <v/>
      </c>
      <c r="E109" s="38" t="inlineStr">
        <is>
          <t>0H5813S</t>
        </is>
      </c>
    </row>
    <row r="110">
      <c r="A110" s="28" t="n">
        <v>1265335</v>
      </c>
      <c r="B110" s="2" t="inlineStr">
        <is>
          <t>GAZPROM NEFT PJSC COMMON STOCK RUB</t>
        </is>
      </c>
      <c r="C110" s="18" t="n">
        <v>48411.87</v>
      </c>
      <c r="D110" s="19">
        <f>C110/$C$125</f>
        <v/>
      </c>
      <c r="E110" s="38" t="inlineStr">
        <is>
          <t>0H5803S</t>
        </is>
      </c>
    </row>
    <row r="111">
      <c r="A111" s="28" t="n">
        <v>730066</v>
      </c>
      <c r="B111" s="2" t="inlineStr">
        <is>
          <t>TATNEFT PJSC COMMON STOCK RUB</t>
        </is>
      </c>
      <c r="C111" s="18" t="n">
        <v>26181.95</v>
      </c>
      <c r="D111" s="19">
        <f>C111/$C$125</f>
        <v/>
      </c>
      <c r="E111" s="38" t="inlineStr">
        <is>
          <t>0H5822S</t>
        </is>
      </c>
    </row>
    <row r="112">
      <c r="A112" s="28" t="n">
        <v>571359</v>
      </c>
      <c r="B112" s="2" t="inlineStr">
        <is>
          <t>TATNEFT PJSC PREFERENCE RUB 1</t>
        </is>
      </c>
      <c r="C112" s="18" t="n">
        <v>18145.63</v>
      </c>
      <c r="D112" s="19">
        <f>C112/$C$125</f>
        <v/>
      </c>
      <c r="E112" s="38" t="inlineStr">
        <is>
          <t>0H5816S</t>
        </is>
      </c>
    </row>
    <row r="113">
      <c r="A113" s="28" t="n"/>
      <c r="B113" s="27" t="inlineStr">
        <is>
          <t>Subtotal</t>
        </is>
      </c>
      <c r="C113" s="29">
        <f>+C112+C111</f>
        <v/>
      </c>
      <c r="D113" s="31">
        <f>C113/$C$128</f>
        <v/>
      </c>
      <c r="E113" s="38" t="n"/>
    </row>
    <row r="114">
      <c r="A114" s="28" t="n">
        <v>6156103</v>
      </c>
      <c r="B114" s="2" t="inlineStr">
        <is>
          <t>ROSTELECOM PJSC COMMON STOCK RUB</t>
        </is>
      </c>
      <c r="C114" s="18" t="n">
        <v>41760.17</v>
      </c>
      <c r="D114" s="19">
        <f>C114/$C$125</f>
        <v/>
      </c>
      <c r="E114" s="38" t="inlineStr">
        <is>
          <t>0H5802S</t>
        </is>
      </c>
    </row>
    <row r="115">
      <c r="A115" s="41" t="n">
        <v>21233273216</v>
      </c>
      <c r="B115" s="2" t="inlineStr">
        <is>
          <t>VTB BANK PJSC COMMON STOCK RUB 0.01</t>
        </is>
      </c>
      <c r="C115" s="33" t="n">
        <v>39950.35</v>
      </c>
      <c r="D115" s="19">
        <f>C115/$C$125</f>
        <v/>
      </c>
      <c r="E115" s="38" t="inlineStr">
        <is>
          <t>0H5837S</t>
        </is>
      </c>
    </row>
    <row r="116">
      <c r="A116" s="28" t="n">
        <v>29773</v>
      </c>
      <c r="B116" s="2" t="inlineStr">
        <is>
          <t>POLYUS PJSC COMMON STOCK RUB</t>
        </is>
      </c>
      <c r="C116" s="18" t="n">
        <v>28740.73</v>
      </c>
      <c r="D116" s="19">
        <f>C116/$C$125</f>
        <v/>
      </c>
      <c r="E116" s="38" t="inlineStr">
        <is>
          <t>2H7182S</t>
        </is>
      </c>
    </row>
    <row r="117">
      <c r="A117" s="28" t="n">
        <v>169819</v>
      </c>
      <c r="B117" s="2" t="inlineStr">
        <is>
          <t>YANDEX NV COMMON STOCK USD 0.01</t>
        </is>
      </c>
      <c r="C117" s="18" t="n">
        <v>25426.87</v>
      </c>
      <c r="D117" s="19">
        <f>C117/$C$125</f>
        <v/>
      </c>
      <c r="E117" s="38" t="inlineStr">
        <is>
          <t>0H6379S</t>
        </is>
      </c>
    </row>
    <row r="118">
      <c r="A118" s="28" t="n">
        <v>432517</v>
      </c>
      <c r="B118" s="2" t="inlineStr">
        <is>
          <t>MD MEDICAL GROUP INVESTMENTS PLC GDR USD</t>
        </is>
      </c>
      <c r="C118" s="18" t="n">
        <v>19489.68</v>
      </c>
      <c r="D118" s="19">
        <f>C118/$C$125</f>
        <v/>
      </c>
      <c r="E118" s="38" t="inlineStr">
        <is>
          <t>0H6371S</t>
        </is>
      </c>
    </row>
    <row r="119">
      <c r="A119" s="28" t="n">
        <v>12313057</v>
      </c>
      <c r="B119" s="2" t="inlineStr">
        <is>
          <t>SISTEMA PJSFC COMMON STOCK RUB 0.09</t>
        </is>
      </c>
      <c r="C119" s="18" t="n">
        <v>14648.83</v>
      </c>
      <c r="D119" s="19">
        <f>C119/$C$125</f>
        <v/>
      </c>
      <c r="E119" s="38" t="inlineStr">
        <is>
          <t>0H5808S</t>
        </is>
      </c>
    </row>
    <row r="120">
      <c r="A120" s="28" t="n">
        <v>577525</v>
      </c>
      <c r="B120" s="2" t="inlineStr">
        <is>
          <t>FIX PRICE GROUP LTD GDR</t>
        </is>
      </c>
      <c r="C120" s="18" t="n">
        <v>4291.66</v>
      </c>
      <c r="D120" s="19">
        <f>C120/$C$125</f>
        <v/>
      </c>
      <c r="E120" s="38" t="inlineStr">
        <is>
          <t>0H6372S</t>
        </is>
      </c>
    </row>
    <row r="121">
      <c r="A121" s="28" t="n">
        <v>75226</v>
      </c>
      <c r="B121" s="2" t="inlineStr">
        <is>
          <t>TCS GROUP HOLDING PLC GDR</t>
        </is>
      </c>
      <c r="C121" s="18" t="n">
        <v>1898.87</v>
      </c>
      <c r="D121" s="19">
        <f>C121/$C$125</f>
        <v/>
      </c>
      <c r="E121" s="38" t="inlineStr">
        <is>
          <t>0H6380S</t>
        </is>
      </c>
    </row>
    <row r="122">
      <c r="A122" s="28" t="n">
        <v>275182</v>
      </c>
      <c r="B122" s="2" t="inlineStr">
        <is>
          <t>X 5 RETAIL GROUP NV-REGS GDR</t>
        </is>
      </c>
      <c r="C122" s="18" t="n">
        <v>1156.03</v>
      </c>
      <c r="D122" s="19">
        <f>C122/$C$125</f>
        <v/>
      </c>
      <c r="E122" s="38" t="inlineStr">
        <is>
          <t>0H6365S</t>
        </is>
      </c>
    </row>
    <row r="123">
      <c r="A123" s="28" t="n">
        <v>552780</v>
      </c>
      <c r="B123" s="2" t="inlineStr">
        <is>
          <t>SEVERSTAL PAO GDR USD</t>
        </is>
      </c>
      <c r="C123" s="18" t="n">
        <v>262.63</v>
      </c>
      <c r="D123" s="19">
        <f>C123/$C$125</f>
        <v/>
      </c>
      <c r="E123" s="38" t="inlineStr">
        <is>
          <t>0H6368S</t>
        </is>
      </c>
    </row>
    <row r="124">
      <c r="A124" s="28" t="n"/>
      <c r="B124" s="2" t="n"/>
      <c r="C124" s="18" t="n"/>
      <c r="D124" s="19" t="n"/>
      <c r="E124" s="38" t="n"/>
    </row>
    <row r="125">
      <c r="A125" s="28" t="n"/>
      <c r="B125" s="21" t="inlineStr">
        <is>
          <t>Total portfolio</t>
        </is>
      </c>
      <c r="C125" s="39">
        <f>SUM(C12:C29)+SUM(C31:C42)+SUM(C44:C48)+SUM(C50:C81)+SUM(C83:C103)+SUM(C105:C112)+SUM(C114:C123)</f>
        <v/>
      </c>
      <c r="D125" s="19">
        <f>C125/$C$128</f>
        <v/>
      </c>
      <c r="E125" s="20" t="n"/>
    </row>
    <row r="126">
      <c r="A126" s="28" t="n"/>
      <c r="B126" s="21" t="inlineStr">
        <is>
          <t>Net Current Assets</t>
        </is>
      </c>
      <c r="C126" s="39" t="n">
        <v>134150.97</v>
      </c>
      <c r="D126" s="19">
        <f>C126/$C$128</f>
        <v/>
      </c>
      <c r="E126" s="20" t="n"/>
    </row>
    <row r="127">
      <c r="A127" s="28" t="n"/>
      <c r="B127" s="21" t="n"/>
      <c r="C127" s="39" t="n"/>
      <c r="D127" s="32" t="n"/>
      <c r="E127" s="20" t="n"/>
    </row>
    <row r="128">
      <c r="A128" s="17" t="n"/>
      <c r="B128" s="21" t="inlineStr">
        <is>
          <t>Total Assets</t>
        </is>
      </c>
      <c r="C128" s="22">
        <f>C125+C126</f>
        <v/>
      </c>
      <c r="D128" s="19">
        <f>C128/$C$128</f>
        <v/>
      </c>
      <c r="E128" s="3" t="n"/>
    </row>
    <row r="129">
      <c r="A12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30"/>
    <row r="131"/>
    <row r="132"/>
  </sheetData>
  <mergeCells count="2">
    <mergeCell ref="A129:E132"/>
    <mergeCell ref="A3:E6"/>
  </mergeCells>
  <conditionalFormatting sqref="B12:B14">
    <cfRule type="containsText" priority="5" operator="containsText" dxfId="0" text="LIQUIDITY">
      <formula>NOT(ISERROR(SEARCH("LIQUIDITY",B12)))</formula>
    </cfRule>
  </conditionalFormatting>
  <conditionalFormatting sqref="B16:B124">
    <cfRule type="containsText" priority="1" operator="containsText" dxfId="0" text="LIQUIDITY">
      <formula>NOT(ISERROR(SEARCH("LIQUIDITY",B16)))</formula>
    </cfRule>
  </conditionalFormatting>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E131"/>
  <sheetViews>
    <sheetView topLeftCell="A30" workbookViewId="0">
      <selection activeCell="D30" sqref="D30"/>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January 2024</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41" t="n">
        <v>50214</v>
      </c>
      <c r="B12" s="2" t="inlineStr">
        <is>
          <t>AL RAJHI BANK COMMON STOCK SAR 10</t>
        </is>
      </c>
      <c r="C12" s="18" t="n">
        <v>883241.27</v>
      </c>
      <c r="D12" s="19">
        <f>C12/$C$124</f>
        <v/>
      </c>
      <c r="E12" s="20" t="inlineStr">
        <is>
          <t>B12LZH9</t>
        </is>
      </c>
    </row>
    <row r="13">
      <c r="A13" s="41" t="n">
        <v>81271</v>
      </c>
      <c r="B13" s="2" t="inlineStr">
        <is>
          <t>THE SAUDI NATIONAL BANK</t>
        </is>
      </c>
      <c r="C13" s="18" t="n">
        <v>690934.51</v>
      </c>
      <c r="D13" s="19">
        <f>C13/$C$124</f>
        <v/>
      </c>
      <c r="E13" s="20" t="inlineStr">
        <is>
          <t>BSHYYN1</t>
        </is>
      </c>
    </row>
    <row r="14">
      <c r="A14" s="41" t="n">
        <v>95550</v>
      </c>
      <c r="B14" s="2" t="inlineStr">
        <is>
          <t>SAUDI ARABIAN OIL CO COMMON STOCK SAR</t>
        </is>
      </c>
      <c r="C14" s="18" t="n">
        <v>611247.59</v>
      </c>
      <c r="D14" s="19">
        <f>C14/$C$124</f>
        <v/>
      </c>
      <c r="E14" s="20" t="inlineStr">
        <is>
          <t>BJTM270</t>
        </is>
      </c>
    </row>
    <row r="15">
      <c r="A15" s="41" t="n">
        <v>500786.64</v>
      </c>
      <c r="B15" s="45" t="inlineStr">
        <is>
          <t>JPM GBP LIQUIDITY LVNAV X (DIST.)</t>
        </is>
      </c>
      <c r="C15" s="33" t="n">
        <v>500786.64</v>
      </c>
      <c r="D15" s="19">
        <f>C15/$C$124</f>
        <v/>
      </c>
      <c r="E15" s="20" t="inlineStr">
        <is>
          <t>5819115</t>
        </is>
      </c>
    </row>
    <row r="16">
      <c r="A16" s="41" t="n">
        <v>164763</v>
      </c>
      <c r="B16" s="2" t="inlineStr">
        <is>
          <t>FIRSTRAND LTD COMMON STOCK ZAR 1</t>
        </is>
      </c>
      <c r="C16" s="18" t="n">
        <v>471654.22</v>
      </c>
      <c r="D16" s="19">
        <f>C16/$C$124</f>
        <v/>
      </c>
      <c r="E16" s="20" t="inlineStr">
        <is>
          <t>6606996</t>
        </is>
      </c>
    </row>
    <row r="17">
      <c r="A17" s="41" t="n">
        <v>52618</v>
      </c>
      <c r="B17" s="2" t="inlineStr">
        <is>
          <t>SAUDI TELECOM CO COMMON STOCK</t>
        </is>
      </c>
      <c r="C17" s="18" t="n">
        <v>449541.46</v>
      </c>
      <c r="D17" s="19">
        <f>C17/$C$124</f>
        <v/>
      </c>
      <c r="E17" s="20" t="inlineStr">
        <is>
          <t>B12M7Q5</t>
        </is>
      </c>
    </row>
    <row r="18">
      <c r="A18" s="41" t="n">
        <v>131277</v>
      </c>
      <c r="B18" s="2" t="inlineStr">
        <is>
          <t>QATAR NATIONAL BANK QPSC COMMON STOCK QAR 1</t>
        </is>
      </c>
      <c r="C18" s="33" t="n">
        <v>439134.81</v>
      </c>
      <c r="D18" s="19">
        <f>C18/$C$124</f>
        <v/>
      </c>
      <c r="E18" s="20" t="inlineStr">
        <is>
          <t>6148197</t>
        </is>
      </c>
    </row>
    <row r="19">
      <c r="A19" s="41" t="n">
        <v>47354</v>
      </c>
      <c r="B19" s="2" t="inlineStr">
        <is>
          <t>STANDARD BANK GROUP LTD COMMON STOCK ZAR 10</t>
        </is>
      </c>
      <c r="C19" s="33" t="n">
        <v>399112.26</v>
      </c>
      <c r="D19" s="19">
        <f>C19/$C$124</f>
        <v/>
      </c>
      <c r="E19" s="20" t="inlineStr">
        <is>
          <t>B030GJ7</t>
        </is>
      </c>
    </row>
    <row r="20">
      <c r="A20" s="41" t="n">
        <v>31177</v>
      </c>
      <c r="B20" s="2" t="inlineStr">
        <is>
          <t>GOLD FIELDS LTD COMMON STOCK ZAR 50</t>
        </is>
      </c>
      <c r="C20" s="18" t="n">
        <v>365666.58</v>
      </c>
      <c r="D20" s="19">
        <f>C20/$C$124</f>
        <v/>
      </c>
      <c r="E20" s="20" t="inlineStr">
        <is>
          <t>6280215</t>
        </is>
      </c>
    </row>
    <row r="21">
      <c r="A21" s="41" t="n">
        <v>2744</v>
      </c>
      <c r="B21" s="2" t="inlineStr">
        <is>
          <t>NASPERS LTD COMMON STOCK ZAR 2</t>
        </is>
      </c>
      <c r="C21" s="18" t="n">
        <v>363419.35</v>
      </c>
      <c r="D21" s="19">
        <f>C21/$C$124</f>
        <v/>
      </c>
      <c r="E21" s="20" t="inlineStr">
        <is>
          <t>BN0VX82</t>
        </is>
      </c>
    </row>
    <row r="22">
      <c r="A22" s="41" t="n">
        <v>92792</v>
      </c>
      <c r="B22" s="2" t="inlineStr">
        <is>
          <t>TUPRAS-TURKIYE PETROL RAFINE</t>
        </is>
      </c>
      <c r="C22" s="18" t="n">
        <v>360202.78</v>
      </c>
      <c r="D22" s="19">
        <f>C22/$C$124</f>
        <v/>
      </c>
      <c r="E22" s="20" t="inlineStr">
        <is>
          <t>B03MYT9</t>
        </is>
      </c>
    </row>
    <row r="23">
      <c r="A23" s="41" t="n">
        <v>39921</v>
      </c>
      <c r="B23" s="2" t="inlineStr">
        <is>
          <t>ALINMA BANK COMMON STOCK SAR 10</t>
        </is>
      </c>
      <c r="C23" s="18" t="n">
        <v>346080.4</v>
      </c>
      <c r="D23" s="19">
        <f>C23/$C$124</f>
        <v/>
      </c>
      <c r="E23" s="20" t="inlineStr">
        <is>
          <t>B39NWT3</t>
        </is>
      </c>
    </row>
    <row r="24">
      <c r="A24" s="41" t="n">
        <v>8859</v>
      </c>
      <c r="B24" s="2" t="inlineStr">
        <is>
          <t>OTP BANK NYRT COMMON STOCK HUF 100</t>
        </is>
      </c>
      <c r="C24" s="18" t="n">
        <v>324036.08</v>
      </c>
      <c r="D24" s="19">
        <f>C24/$C$124</f>
        <v/>
      </c>
      <c r="E24" s="20" t="inlineStr">
        <is>
          <t>7320154</t>
        </is>
      </c>
    </row>
    <row r="25">
      <c r="A25" s="41" t="n">
        <v>200673</v>
      </c>
      <c r="B25" s="2" t="inlineStr">
        <is>
          <t>EMAAR PROPERTIES PJSC COMMON STOCK AED 1</t>
        </is>
      </c>
      <c r="C25" s="18" t="n">
        <v>318772.49</v>
      </c>
      <c r="D25" s="19">
        <f>C25/$C$124</f>
        <v/>
      </c>
      <c r="E25" s="20" t="inlineStr">
        <is>
          <t>B01RM25</t>
        </is>
      </c>
    </row>
    <row r="26">
      <c r="A26" s="41" t="n">
        <v>16358</v>
      </c>
      <c r="B26" s="2" t="inlineStr">
        <is>
          <t>BID CORP LTD COMMON STOCK ZAR</t>
        </is>
      </c>
      <c r="C26" s="18" t="n">
        <v>311556.9</v>
      </c>
      <c r="D26" s="19">
        <f>C26/$C$124</f>
        <v/>
      </c>
      <c r="E26" s="20" t="inlineStr">
        <is>
          <t>BZBFKT7</t>
        </is>
      </c>
    </row>
    <row r="27">
      <c r="A27" s="41" t="n">
        <v>81600</v>
      </c>
      <c r="B27" s="2" t="inlineStr">
        <is>
          <t>EMIRATES NBD BANK PJSC COMMON STOCK AED 1</t>
        </is>
      </c>
      <c r="C27" s="18" t="n">
        <v>307920.04</v>
      </c>
      <c r="D27" s="19">
        <f>C27/$C$124</f>
        <v/>
      </c>
      <c r="E27" s="20" t="inlineStr">
        <is>
          <t>B28PFX8</t>
        </is>
      </c>
    </row>
    <row r="28">
      <c r="A28" s="41" t="n">
        <v>362649</v>
      </c>
      <c r="B28" s="2" t="inlineStr">
        <is>
          <t>LUKOIL PJSC COMMON STOCK RUB 0.025 RUB</t>
        </is>
      </c>
      <c r="C28" s="18" t="n">
        <v>163520.58</v>
      </c>
      <c r="D28" s="19">
        <f>C28/$C$124</f>
        <v/>
      </c>
      <c r="E28" s="20" t="inlineStr">
        <is>
          <t>2H6442S</t>
        </is>
      </c>
    </row>
    <row r="29">
      <c r="A29" s="41" t="n">
        <v>262047</v>
      </c>
      <c r="B29" s="2" t="inlineStr">
        <is>
          <t>LUKOIL PJSC COMMON STOCK RUB</t>
        </is>
      </c>
      <c r="C29" s="18" t="n">
        <v>128320.99</v>
      </c>
      <c r="D29" s="19">
        <f>C29/$C$124</f>
        <v/>
      </c>
      <c r="E29" s="20" t="inlineStr">
        <is>
          <t>0H5797S</t>
        </is>
      </c>
    </row>
    <row r="30">
      <c r="A30" s="28" t="n"/>
      <c r="B30" s="27" t="inlineStr">
        <is>
          <t>Subtotal</t>
        </is>
      </c>
      <c r="C30" s="29">
        <f>+C29+C28</f>
        <v/>
      </c>
      <c r="D30" s="31">
        <f>C30/$C$127</f>
        <v/>
      </c>
      <c r="E30" s="20" t="n"/>
    </row>
    <row r="31">
      <c r="A31" s="41" t="n">
        <v>95185</v>
      </c>
      <c r="B31" s="2" t="inlineStr">
        <is>
          <t>SANLAM LTD COMMON STOCK ZAR 1</t>
        </is>
      </c>
      <c r="C31" s="33" t="n">
        <v>287067.16</v>
      </c>
      <c r="D31" s="19">
        <f>C31/$C$124</f>
        <v/>
      </c>
      <c r="E31" s="20" t="inlineStr">
        <is>
          <t>B0L6750</t>
        </is>
      </c>
    </row>
    <row r="32">
      <c r="A32" s="41" t="n">
        <v>23944</v>
      </c>
      <c r="B32" s="2" t="inlineStr">
        <is>
          <t>SHOPRITE HOLDINGS LTD COMMON STOCK ZAR 113.4</t>
        </is>
      </c>
      <c r="C32" s="33" t="n">
        <v>274392.91</v>
      </c>
      <c r="D32" s="19">
        <f>C32/$C$124</f>
        <v/>
      </c>
      <c r="E32" s="20" t="inlineStr">
        <is>
          <t>6801575</t>
        </is>
      </c>
    </row>
    <row r="33">
      <c r="A33" s="28" t="n">
        <v>11953</v>
      </c>
      <c r="B33" s="2" t="inlineStr">
        <is>
          <t>JUMBO SA COMMON STOCK EUR 0.88</t>
        </is>
      </c>
      <c r="C33" s="18" t="n">
        <v>265092.94</v>
      </c>
      <c r="D33" s="19">
        <f>C33/$C$124</f>
        <v/>
      </c>
      <c r="E33" s="20" t="inlineStr">
        <is>
          <t>7243530</t>
        </is>
      </c>
    </row>
    <row r="34">
      <c r="A34" s="28" t="n">
        <v>22007</v>
      </c>
      <c r="B34" s="2" t="inlineStr">
        <is>
          <t>HALYK SAVINGS BANK OF KAZAKHSTAN JSC GDR USD</t>
        </is>
      </c>
      <c r="C34" s="18" t="n">
        <v>247469.66</v>
      </c>
      <c r="D34" s="19">
        <f>C34/$C$124</f>
        <v/>
      </c>
      <c r="E34" s="20" t="inlineStr">
        <is>
          <t>B1KDG41</t>
        </is>
      </c>
    </row>
    <row r="35">
      <c r="A35" s="41" t="n">
        <v>61285</v>
      </c>
      <c r="B35" s="2" t="inlineStr">
        <is>
          <t>MTN GROUP LTD COMMON STOCK ZAR 0.01</t>
        </is>
      </c>
      <c r="C35" s="18" t="n">
        <v>247214.4</v>
      </c>
      <c r="D35" s="19">
        <f>C35/$C$124</f>
        <v/>
      </c>
      <c r="E35" s="20" t="inlineStr">
        <is>
          <t>6563206</t>
        </is>
      </c>
    </row>
    <row r="36">
      <c r="A36" s="28" t="n">
        <v>35367</v>
      </c>
      <c r="B36" s="2" t="inlineStr">
        <is>
          <t>ABSA GROUP LTD</t>
        </is>
      </c>
      <c r="C36" s="18" t="n">
        <v>244474.91</v>
      </c>
      <c r="D36" s="19">
        <f>C36/$C$124</f>
        <v/>
      </c>
      <c r="E36" s="20" t="inlineStr">
        <is>
          <t>BFX05H3</t>
        </is>
      </c>
    </row>
    <row r="37">
      <c r="A37" s="28" t="n">
        <v>40671</v>
      </c>
      <c r="B37" s="2" t="inlineStr">
        <is>
          <t>NATIONAL BANK OF GREECE SA COMMON STOCK EUR 1</t>
        </is>
      </c>
      <c r="C37" s="18" t="n">
        <v>243886.67</v>
      </c>
      <c r="D37" s="19">
        <f>C37/$C$124</f>
        <v/>
      </c>
      <c r="E37" s="20" t="inlineStr">
        <is>
          <t>BG087C6</t>
        </is>
      </c>
    </row>
    <row r="38">
      <c r="A38" s="28" t="n">
        <v>11178</v>
      </c>
      <c r="B38" s="2" t="inlineStr">
        <is>
          <t>RICHTER GEDEON NYRT COMMON STOCK HUF 100</t>
        </is>
      </c>
      <c r="C38" s="18" t="n">
        <v>238283.24</v>
      </c>
      <c r="D38" s="19">
        <f>C38/$C$124</f>
        <v/>
      </c>
      <c r="E38" s="20" t="inlineStr">
        <is>
          <t>BC9ZH86</t>
        </is>
      </c>
    </row>
    <row r="39">
      <c r="A39" s="28" t="n">
        <v>24876</v>
      </c>
      <c r="B39" s="2" t="inlineStr">
        <is>
          <t>POWSZECHNY ZAKLAD UBEZPIECZEN SA COMMON STOCK PLN 0.1</t>
        </is>
      </c>
      <c r="C39" s="18" t="n">
        <v>236871.97</v>
      </c>
      <c r="D39" s="19">
        <f>C39/$C$124</f>
        <v/>
      </c>
      <c r="E39" s="20" t="inlineStr">
        <is>
          <t>B63DG21</t>
        </is>
      </c>
    </row>
    <row r="40">
      <c r="A40" s="28" t="n">
        <v>123763</v>
      </c>
      <c r="B40" s="2" t="inlineStr">
        <is>
          <t>ABU DHABI COMMERCIAL BANK PJSC COMMON STOCK AED 1</t>
        </is>
      </c>
      <c r="C40" s="18" t="n">
        <v>236290.01</v>
      </c>
      <c r="D40" s="19">
        <f>C40/$C$124</f>
        <v/>
      </c>
      <c r="E40" s="20" t="inlineStr">
        <is>
          <t>6545464</t>
        </is>
      </c>
    </row>
    <row r="41">
      <c r="A41" s="28" t="n">
        <v>38596</v>
      </c>
      <c r="B41" s="2" t="inlineStr">
        <is>
          <t>RIYAD BANK COMMON STOCK SAR 10</t>
        </is>
      </c>
      <c r="C41" s="18" t="n">
        <v>229528.11</v>
      </c>
      <c r="D41" s="19">
        <f>C41/$C$124</f>
        <v/>
      </c>
      <c r="E41" s="20" t="inlineStr">
        <is>
          <t>B12LZW4</t>
        </is>
      </c>
    </row>
    <row r="42">
      <c r="A42" s="28" t="n">
        <v>8860909</v>
      </c>
      <c r="B42" s="2" t="inlineStr">
        <is>
          <t>GAZPROM PJSC COMMON STOCK RUB</t>
        </is>
      </c>
      <c r="C42" s="18" t="n">
        <v>200387.57</v>
      </c>
      <c r="D42" s="19">
        <f>C42/$C$124</f>
        <v/>
      </c>
      <c r="E42" s="20" t="inlineStr">
        <is>
          <t>0H5796S</t>
        </is>
      </c>
    </row>
    <row r="43">
      <c r="A43" s="28" t="n">
        <v>5365084</v>
      </c>
      <c r="B43" s="2" t="inlineStr">
        <is>
          <t>GAZPROM PJSC ADR</t>
        </is>
      </c>
      <c r="C43" s="18" t="n">
        <v>24494.56</v>
      </c>
      <c r="D43" s="19">
        <f>C43/$C$124</f>
        <v/>
      </c>
      <c r="E43" s="20" t="inlineStr">
        <is>
          <t>0H6364S</t>
        </is>
      </c>
    </row>
    <row r="44">
      <c r="A44" s="28" t="n"/>
      <c r="B44" s="27" t="inlineStr">
        <is>
          <t>Subtotal</t>
        </is>
      </c>
      <c r="C44" s="29">
        <f>+C43+C42</f>
        <v/>
      </c>
      <c r="D44" s="31">
        <f>C44/$C$127</f>
        <v/>
      </c>
      <c r="E44" s="38" t="n"/>
    </row>
    <row r="45">
      <c r="A45" s="41" t="n">
        <v>7421</v>
      </c>
      <c r="B45" s="2" t="inlineStr">
        <is>
          <t>TBC BANK GROUP PLC COMMON STOCK GBP 1</t>
        </is>
      </c>
      <c r="C45" s="18" t="n">
        <v>215951.1</v>
      </c>
      <c r="D45" s="19">
        <f>C45/$C$124</f>
        <v/>
      </c>
      <c r="E45" s="38" t="inlineStr">
        <is>
          <t>BYT1830</t>
        </is>
      </c>
    </row>
    <row r="46">
      <c r="A46" s="41" t="n">
        <v>19263</v>
      </c>
      <c r="B46" s="2" t="inlineStr">
        <is>
          <t>ETIHAD ETISALAT CO COMMON STOCK SAR 10</t>
        </is>
      </c>
      <c r="C46" s="18" t="n">
        <v>210153.63</v>
      </c>
      <c r="D46" s="19">
        <f>C46/$C$124</f>
        <v/>
      </c>
      <c r="E46" s="38" t="inlineStr">
        <is>
          <t>B12LR51</t>
        </is>
      </c>
    </row>
    <row r="47">
      <c r="A47" s="41" t="n">
        <v>14455036</v>
      </c>
      <c r="B47" s="2" t="inlineStr">
        <is>
          <t>SBERBANK OF RUSSIA PJSC PREFERENCE RUB 3</t>
        </is>
      </c>
      <c r="C47" s="18" t="n">
        <v>180330.56</v>
      </c>
      <c r="D47" s="19">
        <f>C47/$C$124</f>
        <v/>
      </c>
      <c r="E47" s="38" t="inlineStr">
        <is>
          <t>0H5856S</t>
        </is>
      </c>
    </row>
    <row r="48">
      <c r="A48" s="41" t="n">
        <v>2355925</v>
      </c>
      <c r="B48" s="2" t="inlineStr">
        <is>
          <t>SBERBANK OF RUSSIA PJSC</t>
        </is>
      </c>
      <c r="C48" s="18" t="n">
        <v>29178.4</v>
      </c>
      <c r="D48" s="19">
        <f>C48/$C$124</f>
        <v/>
      </c>
      <c r="E48" s="38" t="inlineStr">
        <is>
          <t>0H5855S</t>
        </is>
      </c>
    </row>
    <row r="49">
      <c r="A49" s="41" t="n"/>
      <c r="B49" s="27" t="inlineStr">
        <is>
          <t>Subtotal</t>
        </is>
      </c>
      <c r="C49" s="29">
        <f>+C48+C47</f>
        <v/>
      </c>
      <c r="D49" s="31">
        <f>C49/$C$127</f>
        <v/>
      </c>
      <c r="E49" s="38" t="n"/>
    </row>
    <row r="50">
      <c r="A50" s="28" t="n">
        <v>12384</v>
      </c>
      <c r="B50" s="2" t="inlineStr">
        <is>
          <t>SAUDI BASIC INDUSTRIES CORP COMMON STOCK SAR 10</t>
        </is>
      </c>
      <c r="C50" s="18" t="n">
        <v>201751.04</v>
      </c>
      <c r="D50" s="19">
        <f>C50/$C$124</f>
        <v/>
      </c>
      <c r="E50" s="38" t="inlineStr">
        <is>
          <t>B1324D0</t>
        </is>
      </c>
    </row>
    <row r="51">
      <c r="A51" s="28" t="n">
        <v>30929</v>
      </c>
      <c r="B51" s="2" t="inlineStr">
        <is>
          <t>MOL HUNGARIAN OIL &amp; GAS PLC COMMON STOCK HUF 125</t>
        </is>
      </c>
      <c r="C51" s="18" t="n">
        <v>199239.32</v>
      </c>
      <c r="D51" s="19">
        <f>C51/$C$124</f>
        <v/>
      </c>
      <c r="E51" s="38" t="inlineStr">
        <is>
          <t>BD5ZXH8</t>
        </is>
      </c>
    </row>
    <row r="52">
      <c r="A52" s="28" t="n">
        <v>9203</v>
      </c>
      <c r="B52" s="2" t="inlineStr">
        <is>
          <t>MOTOR OIL HELLAS CORINTH REFINERIES SA COMMON STOCK EUR 0.75</t>
        </is>
      </c>
      <c r="C52" s="18" t="n">
        <v>198451.5</v>
      </c>
      <c r="D52" s="19">
        <f>C52/$C$124</f>
        <v/>
      </c>
      <c r="E52" s="38" t="inlineStr">
        <is>
          <t>5996234</t>
        </is>
      </c>
    </row>
    <row r="53">
      <c r="A53" s="28" t="n">
        <v>61281</v>
      </c>
      <c r="B53" s="2" t="inlineStr">
        <is>
          <t>PIRAEUS FINANCIAL HOLDINGS SA COMMON STOCK EUR 0.93</t>
        </is>
      </c>
      <c r="C53" s="18" t="n">
        <v>195708.45</v>
      </c>
      <c r="D53" s="19">
        <f>C53/$C$124</f>
        <v/>
      </c>
      <c r="E53" s="38" t="inlineStr">
        <is>
          <t>BNC0DB0</t>
        </is>
      </c>
    </row>
    <row r="54">
      <c r="A54" s="28" t="n">
        <v>250715</v>
      </c>
      <c r="B54" s="2" t="inlineStr">
        <is>
          <t>ADNOC DRILLING CO PJSC COMMON STOCK AED</t>
        </is>
      </c>
      <c r="C54" s="18" t="n">
        <v>195112.36</v>
      </c>
      <c r="D54" s="19">
        <f>C54/$C$124</f>
        <v/>
      </c>
      <c r="E54" s="38" t="inlineStr">
        <is>
          <t>BN12D39</t>
        </is>
      </c>
    </row>
    <row r="55">
      <c r="A55" s="28" t="n">
        <v>144384</v>
      </c>
      <c r="B55" s="2" t="inlineStr">
        <is>
          <t>DUBAI ISLAMIC BANK PJSC COMMON STOCK AED 1</t>
        </is>
      </c>
      <c r="C55" s="18" t="n">
        <v>194783.21</v>
      </c>
      <c r="D55" s="19">
        <f>C55/$C$124</f>
        <v/>
      </c>
      <c r="E55" s="38" t="inlineStr">
        <is>
          <t>6283452</t>
        </is>
      </c>
    </row>
    <row r="56">
      <c r="A56" s="28" t="n">
        <v>127190</v>
      </c>
      <c r="B56" s="2" t="inlineStr">
        <is>
          <t>EUROBANK ERGASIAS SERVICES AND HOLDINGS SA COMMON STOCK EUR 0.22</t>
        </is>
      </c>
      <c r="C56" s="18" t="n">
        <v>193822.37</v>
      </c>
      <c r="D56" s="19">
        <f>C56/$C$124</f>
        <v/>
      </c>
      <c r="E56" s="38" t="inlineStr">
        <is>
          <t>BYZ43T4</t>
        </is>
      </c>
    </row>
    <row r="57">
      <c r="A57" s="41" t="n">
        <v>12128</v>
      </c>
      <c r="B57" s="2" t="inlineStr">
        <is>
          <t>NOVA LJUBLJANSKA BANKA DD GDR EUR</t>
        </is>
      </c>
      <c r="C57" s="33" t="n">
        <v>189833.63</v>
      </c>
      <c r="D57" s="19">
        <f>C57/$C$124</f>
        <v/>
      </c>
      <c r="E57" s="38" t="inlineStr">
        <is>
          <t>BGRPD22</t>
        </is>
      </c>
    </row>
    <row r="58">
      <c r="A58" s="28" t="n">
        <v>4992</v>
      </c>
      <c r="B58" s="2" t="inlineStr">
        <is>
          <t>BANK OF GEORGIA GROUP PLC COMMON STOCK GBP 1</t>
        </is>
      </c>
      <c r="C58" s="18" t="n">
        <v>189196.8</v>
      </c>
      <c r="D58" s="19">
        <f>C58/$C$124</f>
        <v/>
      </c>
      <c r="E58" s="38" t="inlineStr">
        <is>
          <t>BF4HYT8</t>
        </is>
      </c>
    </row>
    <row r="59">
      <c r="A59" s="28" t="n">
        <v>172191</v>
      </c>
      <c r="B59" s="2" t="inlineStr">
        <is>
          <t>ALDAR PROPERTIES PJSC COMMON STOCK AED 1</t>
        </is>
      </c>
      <c r="C59" s="18" t="n">
        <v>186647.2</v>
      </c>
      <c r="D59" s="19">
        <f>C59/$C$124</f>
        <v/>
      </c>
      <c r="E59" s="38" t="inlineStr">
        <is>
          <t>B0LX3Y2</t>
        </is>
      </c>
    </row>
    <row r="60">
      <c r="A60" s="28" t="n">
        <v>7386</v>
      </c>
      <c r="B60" s="2" t="inlineStr">
        <is>
          <t>MOUWASAT MEDICAL SERVICES CO COMMON STOCK SAR 10</t>
        </is>
      </c>
      <c r="C60" s="18" t="n">
        <v>183738.85</v>
      </c>
      <c r="D60" s="19">
        <f>C60/$C$124</f>
        <v/>
      </c>
      <c r="E60" s="38" t="inlineStr">
        <is>
          <t>B403QG4</t>
        </is>
      </c>
    </row>
    <row r="61">
      <c r="A61" s="28" t="n">
        <v>5598</v>
      </c>
      <c r="B61" s="2" t="inlineStr">
        <is>
          <t>MYTILINEOS SA COMMON STOCK EUR 0.97</t>
        </is>
      </c>
      <c r="C61" s="18" t="n">
        <v>181453.1</v>
      </c>
      <c r="D61" s="19">
        <f>C61/$C$124</f>
        <v/>
      </c>
      <c r="E61" s="38" t="inlineStr">
        <is>
          <t>5898664</t>
        </is>
      </c>
    </row>
    <row r="62">
      <c r="A62" s="28" t="n">
        <v>8057</v>
      </c>
      <c r="B62" s="2" t="inlineStr">
        <is>
          <t>RIYADH CABLES GROUP CO COMMON STOCK SAR 10</t>
        </is>
      </c>
      <c r="C62" s="18" t="n">
        <v>177486.1</v>
      </c>
      <c r="D62" s="19">
        <f>C62/$C$124</f>
        <v/>
      </c>
      <c r="E62" s="38" t="inlineStr">
        <is>
          <t>BNBPXW7</t>
        </is>
      </c>
    </row>
    <row r="63">
      <c r="A63" s="28" t="n">
        <v>16665</v>
      </c>
      <c r="B63" s="2" t="inlineStr">
        <is>
          <t>BIDVEST GROUP LTD/THE COMMON STOCK ZAR 5</t>
        </is>
      </c>
      <c r="C63" s="18" t="n">
        <v>173675.12</v>
      </c>
      <c r="D63" s="19">
        <f>C63/$C$124</f>
        <v/>
      </c>
      <c r="E63" s="38" t="inlineStr">
        <is>
          <t>6100089</t>
        </is>
      </c>
    </row>
    <row r="64">
      <c r="A64" s="28" t="n">
        <v>2401</v>
      </c>
      <c r="B64" s="2" t="inlineStr">
        <is>
          <t>JSC KASPI.KZ GDR-REG S</t>
        </is>
      </c>
      <c r="C64" s="18" t="n">
        <v>173270.96</v>
      </c>
      <c r="D64" s="19">
        <f>C64/$C$124</f>
        <v/>
      </c>
      <c r="E64" s="38" t="inlineStr">
        <is>
          <t>BMXZ8G7</t>
        </is>
      </c>
    </row>
    <row r="65">
      <c r="A65" s="28" t="n">
        <v>13624</v>
      </c>
      <c r="B65" s="2" t="inlineStr">
        <is>
          <t>CLICKS GROUP LTD COMMON STOCK ZAR 1</t>
        </is>
      </c>
      <c r="C65" s="18" t="n">
        <v>172855.6</v>
      </c>
      <c r="D65" s="19">
        <f>C65/$C$124</f>
        <v/>
      </c>
      <c r="E65" s="38" t="inlineStr">
        <is>
          <t>6105578</t>
        </is>
      </c>
    </row>
    <row r="66">
      <c r="A66" s="28" t="n">
        <v>247235</v>
      </c>
      <c r="B66" s="2" t="inlineStr">
        <is>
          <t>ADNOC GAS PLC</t>
        </is>
      </c>
      <c r="C66" s="18" t="n">
        <v>169675.08</v>
      </c>
      <c r="D66" s="19">
        <f>C66/$C$124</f>
        <v/>
      </c>
      <c r="E66" s="38" t="inlineStr">
        <is>
          <t>BPJLW35</t>
        </is>
      </c>
    </row>
    <row r="67">
      <c r="A67" s="28" t="n">
        <v>1892</v>
      </c>
      <c r="B67" s="2" t="inlineStr">
        <is>
          <t>KRUK SA COMMON STOCK PLN 1</t>
        </is>
      </c>
      <c r="C67" s="18" t="n">
        <v>169415.93</v>
      </c>
      <c r="D67" s="19">
        <f>C67/$C$124</f>
        <v/>
      </c>
      <c r="E67" s="38" t="inlineStr">
        <is>
          <t>B4PTLY0</t>
        </is>
      </c>
    </row>
    <row r="68">
      <c r="A68" s="28" t="n">
        <v>9725</v>
      </c>
      <c r="B68" s="2" t="inlineStr">
        <is>
          <t>UNITED INTERNATIONAL TRANSPORTATION CO COMMON STOCK SAR 10</t>
        </is>
      </c>
      <c r="C68" s="18" t="n">
        <v>169225.53</v>
      </c>
      <c r="D68" s="19">
        <f>C68/$C$124</f>
        <v/>
      </c>
      <c r="E68" s="38" t="inlineStr">
        <is>
          <t>B2493D0</t>
        </is>
      </c>
    </row>
    <row r="69">
      <c r="A69" s="28" t="n">
        <v>39150</v>
      </c>
      <c r="B69" s="2" t="inlineStr">
        <is>
          <t>ADES HOLDING CO COMMON STOCK SAR 1</t>
        </is>
      </c>
      <c r="C69" s="18" t="n">
        <v>163467.78</v>
      </c>
      <c r="D69" s="19">
        <f>C69/$C$124</f>
        <v/>
      </c>
      <c r="E69" s="38" t="inlineStr">
        <is>
          <t>BR56KM3</t>
        </is>
      </c>
    </row>
    <row r="70">
      <c r="A70" s="28" t="n">
        <v>2940</v>
      </c>
      <c r="B70" s="2" t="inlineStr">
        <is>
          <t>ARABIAN CONTRACTING SERVICES CO COMMON STOCK SAR</t>
        </is>
      </c>
      <c r="C70" s="18" t="n">
        <v>160187.96</v>
      </c>
      <c r="D70" s="19">
        <f>C70/$C$124</f>
        <v/>
      </c>
      <c r="E70" s="38" t="inlineStr">
        <is>
          <t>BP4DC81</t>
        </is>
      </c>
    </row>
    <row r="71">
      <c r="A71" s="28" t="n">
        <v>66726</v>
      </c>
      <c r="B71" s="2" t="inlineStr">
        <is>
          <t>ABU DHABI ISLAMIC BANK PJSC COMMON STOCK AED 1</t>
        </is>
      </c>
      <c r="C71" s="18" t="n">
        <v>159777.71</v>
      </c>
      <c r="D71" s="19">
        <f>C71/$C$124</f>
        <v/>
      </c>
      <c r="E71" s="38" t="inlineStr">
        <is>
          <t>6001728</t>
        </is>
      </c>
    </row>
    <row r="72">
      <c r="A72" s="28" t="n">
        <v>40456</v>
      </c>
      <c r="B72" s="2" t="inlineStr">
        <is>
          <t>VODACOM GROUP LTD COMMON STOCK ZAR</t>
        </is>
      </c>
      <c r="C72" s="18" t="n">
        <v>159469.68</v>
      </c>
      <c r="D72" s="19">
        <f>C72/$C$124</f>
        <v/>
      </c>
      <c r="E72" s="38" t="inlineStr">
        <is>
          <t>B65B4D0</t>
        </is>
      </c>
    </row>
    <row r="73">
      <c r="A73" s="28" t="n">
        <v>49840</v>
      </c>
      <c r="B73" s="2" t="inlineStr">
        <is>
          <t>JARIR MARKETING CO COMMON STOCK SAR 1</t>
        </is>
      </c>
      <c r="C73" s="18" t="n">
        <v>158008.03</v>
      </c>
      <c r="D73" s="19">
        <f>C73/$C$124</f>
        <v/>
      </c>
      <c r="E73" s="38" t="inlineStr">
        <is>
          <t>B128FM5</t>
        </is>
      </c>
    </row>
    <row r="74">
      <c r="A74" s="28" t="n">
        <v>18169</v>
      </c>
      <c r="B74" s="2" t="inlineStr">
        <is>
          <t>HUMANSOFT HOLDING CO KSC COMMON STOCK KWD 100</t>
        </is>
      </c>
      <c r="C74" s="18" t="n">
        <v>157842.8</v>
      </c>
      <c r="D74" s="19">
        <f>C74/$C$124</f>
        <v/>
      </c>
      <c r="E74" s="38" t="inlineStr">
        <is>
          <t>B13BYX7</t>
        </is>
      </c>
    </row>
    <row r="75">
      <c r="A75" s="28" t="n">
        <v>36992</v>
      </c>
      <c r="B75" s="2" t="inlineStr">
        <is>
          <t>BANCA TRANSILVANIA SA COMMON STOCK RON 1</t>
        </is>
      </c>
      <c r="C75" s="18" t="n">
        <v>156136.99</v>
      </c>
      <c r="D75" s="19">
        <f>C75/$C$124</f>
        <v/>
      </c>
      <c r="E75" s="38" t="inlineStr">
        <is>
          <t>5393307</t>
        </is>
      </c>
    </row>
    <row r="76">
      <c r="A76" s="28" t="n">
        <v>292031</v>
      </c>
      <c r="B76" s="2" t="inlineStr">
        <is>
          <t>DUBAI ELECTRICITY &amp; WATER AU</t>
        </is>
      </c>
      <c r="C76" s="18" t="n">
        <v>156088.91</v>
      </c>
      <c r="D76" s="19">
        <f>C76/$C$124</f>
        <v/>
      </c>
      <c r="E76" s="38" t="inlineStr">
        <is>
          <t>BJLTVJ4</t>
        </is>
      </c>
    </row>
    <row r="77">
      <c r="A77" s="28" t="n">
        <v>49360</v>
      </c>
      <c r="B77" s="2" t="inlineStr">
        <is>
          <t>FIRST ABU DHABI BANK PJSC COMMON STOCK AED 1</t>
        </is>
      </c>
      <c r="C77" s="18" t="n">
        <v>154496.74</v>
      </c>
      <c r="D77" s="19">
        <f>C77/$C$124</f>
        <v/>
      </c>
      <c r="E77" s="38" t="inlineStr">
        <is>
          <t>6624471</t>
        </is>
      </c>
    </row>
    <row r="78">
      <c r="A78" s="28" t="n">
        <v>11282</v>
      </c>
      <c r="B78" s="2" t="inlineStr">
        <is>
          <t>OPAP SA COMMON STOCK EUR 0.3</t>
        </is>
      </c>
      <c r="C78" s="18" t="n">
        <v>154168.8</v>
      </c>
      <c r="D78" s="19">
        <f>C78/$C$124</f>
        <v/>
      </c>
      <c r="E78" s="38" t="inlineStr">
        <is>
          <t>7107250</t>
        </is>
      </c>
    </row>
    <row r="79">
      <c r="A79" s="28" t="n">
        <v>20423</v>
      </c>
      <c r="B79" s="2" t="inlineStr">
        <is>
          <t>SAUDI AWWAL BANK COMMON STOCK SAR 10</t>
        </is>
      </c>
      <c r="C79" s="18" t="n">
        <v>153742.41</v>
      </c>
      <c r="D79" s="19">
        <f>C79/$C$124</f>
        <v/>
      </c>
      <c r="E79" s="38" t="inlineStr">
        <is>
          <t>B12LSY7</t>
        </is>
      </c>
    </row>
    <row r="80">
      <c r="A80" s="28" t="n">
        <v>1268490</v>
      </c>
      <c r="B80" s="2" t="inlineStr">
        <is>
          <t>NOVATEK PJSC COMMON STOCK RUB 0.1</t>
        </is>
      </c>
      <c r="C80" s="18" t="n">
        <v>140842.04</v>
      </c>
      <c r="D80" s="19">
        <f>C80/$C$124</f>
        <v/>
      </c>
      <c r="E80" s="38" t="inlineStr">
        <is>
          <t>2H6464S</t>
        </is>
      </c>
    </row>
    <row r="81">
      <c r="A81" s="28" t="n">
        <v>103572</v>
      </c>
      <c r="B81" s="2" t="inlineStr">
        <is>
          <t>NOVATEK PJSC COMMON STOCK RUB 0.1</t>
        </is>
      </c>
      <c r="C81" s="18" t="n">
        <v>12488.78</v>
      </c>
      <c r="D81" s="19">
        <f>C81/$C$124</f>
        <v/>
      </c>
      <c r="E81" s="38" t="inlineStr">
        <is>
          <t>0H5828S</t>
        </is>
      </c>
    </row>
    <row r="82">
      <c r="A82" s="28" t="n"/>
      <c r="B82" s="27" t="inlineStr">
        <is>
          <t>Subtotal</t>
        </is>
      </c>
      <c r="C82" s="29">
        <f>+C81+C80</f>
        <v/>
      </c>
      <c r="D82" s="31">
        <f>C82/$C$127</f>
        <v/>
      </c>
      <c r="E82" s="38" t="n"/>
    </row>
    <row r="83">
      <c r="A83" s="28" t="n">
        <v>50</v>
      </c>
      <c r="B83" s="2" t="inlineStr">
        <is>
          <t>LPP SA COMMON STOCK PLN 2</t>
        </is>
      </c>
      <c r="C83" s="18" t="n">
        <v>152787.45</v>
      </c>
      <c r="D83" s="19">
        <f>C83/$C$124</f>
        <v/>
      </c>
      <c r="E83" s="38" t="inlineStr">
        <is>
          <t>7127979</t>
        </is>
      </c>
    </row>
    <row r="84">
      <c r="A84" s="41" t="n">
        <v>105464</v>
      </c>
      <c r="B84" s="2" t="inlineStr">
        <is>
          <t>ALPHA SERVICES AND HOLDINGS SA COMMON STOCK EUR 0.29</t>
        </is>
      </c>
      <c r="C84" s="33" t="n">
        <v>148389.94</v>
      </c>
      <c r="D84" s="19">
        <f>C84/$C$124</f>
        <v/>
      </c>
      <c r="E84" s="38" t="inlineStr">
        <is>
          <t>BZ1MXR7</t>
        </is>
      </c>
    </row>
    <row r="85">
      <c r="A85" s="28" t="n">
        <v>196322</v>
      </c>
      <c r="B85" s="2" t="inlineStr">
        <is>
          <t>QATAR GAS TRANSPORT CO LTD COMMON STOCK QAR 1</t>
        </is>
      </c>
      <c r="C85" s="18" t="n">
        <v>146035.88</v>
      </c>
      <c r="D85" s="19">
        <f>C85/$C$124</f>
        <v/>
      </c>
      <c r="E85" s="38" t="inlineStr">
        <is>
          <t>B0MLBC9</t>
        </is>
      </c>
    </row>
    <row r="86">
      <c r="A86" s="28" t="n">
        <v>5652</v>
      </c>
      <c r="B86" s="2" t="inlineStr">
        <is>
          <t>KOMERCNI BANKA AS COMMON STOCK CZK 100</t>
        </is>
      </c>
      <c r="C86" s="18" t="n">
        <v>146012.89</v>
      </c>
      <c r="D86" s="19">
        <f>C86/$C$124</f>
        <v/>
      </c>
      <c r="E86" s="38" t="inlineStr">
        <is>
          <t>4519449</t>
        </is>
      </c>
    </row>
    <row r="87">
      <c r="A87" s="28" t="n">
        <v>764</v>
      </c>
      <c r="B87" s="2" t="inlineStr">
        <is>
          <t>ELM CO COMMON STOCK SAR 10</t>
        </is>
      </c>
      <c r="C87" s="18" t="n">
        <v>144302.93</v>
      </c>
      <c r="D87" s="19">
        <f>C87/$C$124</f>
        <v/>
      </c>
      <c r="E87" s="38" t="inlineStr">
        <is>
          <t>BNYDSH8</t>
        </is>
      </c>
    </row>
    <row r="88">
      <c r="A88" s="28" t="n">
        <v>60427</v>
      </c>
      <c r="B88" s="2" t="inlineStr">
        <is>
          <t>OOREDOO QPSC COMMON STOCK QAR 1</t>
        </is>
      </c>
      <c r="C88" s="18" t="n">
        <v>139578.31</v>
      </c>
      <c r="D88" s="19">
        <f>C88/$C$124</f>
        <v/>
      </c>
      <c r="E88" s="38" t="inlineStr">
        <is>
          <t>6158174</t>
        </is>
      </c>
    </row>
    <row r="89">
      <c r="A89" s="28" t="n">
        <v>187852</v>
      </c>
      <c r="B89" s="2" t="inlineStr">
        <is>
          <t>SALIK CO PJSC COMMON STOCK AED 0.01</t>
        </is>
      </c>
      <c r="C89" s="18" t="n">
        <v>139363.29</v>
      </c>
      <c r="D89" s="19">
        <f>C89/$C$124</f>
        <v/>
      </c>
      <c r="E89" s="38" t="inlineStr">
        <is>
          <t>BJN5952</t>
        </is>
      </c>
    </row>
    <row r="90">
      <c r="A90" s="28" t="n">
        <v>12548</v>
      </c>
      <c r="B90" s="2" t="inlineStr">
        <is>
          <t>HELLENIC TELECOMMUNICATIONS ORGANIZATION SA COMMON STOCK EUR 2.83</t>
        </is>
      </c>
      <c r="C90" s="18" t="n">
        <v>137538.89</v>
      </c>
      <c r="D90" s="19">
        <f>C90/$C$124</f>
        <v/>
      </c>
      <c r="E90" s="38" t="inlineStr">
        <is>
          <t>5051605</t>
        </is>
      </c>
    </row>
    <row r="91">
      <c r="A91" s="28" t="n">
        <v>71192</v>
      </c>
      <c r="B91" s="2" t="inlineStr">
        <is>
          <t>MMC NORILSK NICKEL PJSC COMMON STOCK RUB 1</t>
        </is>
      </c>
      <c r="C91" s="18" t="n">
        <v>135129.65</v>
      </c>
      <c r="D91" s="19">
        <f>C91/$C$124</f>
        <v/>
      </c>
      <c r="E91" s="38" t="inlineStr">
        <is>
          <t>0H5804S</t>
        </is>
      </c>
    </row>
    <row r="92">
      <c r="A92" s="28" t="n">
        <v>9355</v>
      </c>
      <c r="B92" s="2" t="inlineStr">
        <is>
          <t>ANGLOGOLD ASHANTI PLC ZAR</t>
        </is>
      </c>
      <c r="C92" s="18" t="n">
        <v>133302.73</v>
      </c>
      <c r="D92" s="19">
        <f>C92/$C$124</f>
        <v/>
      </c>
      <c r="E92" s="38" t="inlineStr">
        <is>
          <t>BRF6FX9</t>
        </is>
      </c>
    </row>
    <row r="93">
      <c r="A93" s="28" t="n">
        <v>37161</v>
      </c>
      <c r="B93" s="2" t="inlineStr">
        <is>
          <t>AVI LTD COMMON STOCK ZAR 5</t>
        </is>
      </c>
      <c r="C93" s="18" t="n">
        <v>130650.27</v>
      </c>
      <c r="D93" s="19">
        <f>C93/$C$124</f>
        <v/>
      </c>
      <c r="E93" s="38" t="inlineStr">
        <is>
          <t>6040958</t>
        </is>
      </c>
    </row>
    <row r="94">
      <c r="A94" s="28" t="n">
        <v>74864</v>
      </c>
      <c r="B94" s="2" t="inlineStr">
        <is>
          <t>MAGYAR TELEKOM TELECOMMUNICATIONS PLC</t>
        </is>
      </c>
      <c r="C94" s="18" t="n">
        <v>127471.35</v>
      </c>
      <c r="D94" s="19">
        <f>C94/$C$124</f>
        <v/>
      </c>
      <c r="E94" s="38" t="inlineStr">
        <is>
          <t>4577469</t>
        </is>
      </c>
    </row>
    <row r="95">
      <c r="A95" s="28" t="n">
        <v>3385</v>
      </c>
      <c r="B95" s="2" t="inlineStr">
        <is>
          <t>ARABIAN DRILLING CO COMMON STOCK SAR 10</t>
        </is>
      </c>
      <c r="C95" s="18" t="n">
        <v>118939.44</v>
      </c>
      <c r="D95" s="19">
        <f>C95/$C$124</f>
        <v/>
      </c>
      <c r="E95" s="38" t="inlineStr">
        <is>
          <t>BPNZYP9</t>
        </is>
      </c>
    </row>
    <row r="96">
      <c r="A96" s="28" t="n">
        <v>2904</v>
      </c>
      <c r="B96" s="2" t="inlineStr">
        <is>
          <t>LEEJAM SPORTS CO JSC COMMON STOCK SAR 10</t>
        </is>
      </c>
      <c r="C96" s="18" t="n">
        <v>117362.45</v>
      </c>
      <c r="D96" s="19">
        <f>C96/$C$124</f>
        <v/>
      </c>
      <c r="E96" s="38" t="inlineStr">
        <is>
          <t>BF12ZV5</t>
        </is>
      </c>
    </row>
    <row r="97">
      <c r="A97" s="28" t="n">
        <v>3428</v>
      </c>
      <c r="B97" s="2" t="inlineStr">
        <is>
          <t>ALDREES PETROLEUM AND TRANSPORT SERVICES CO COMMON STOCK SAR 10</t>
        </is>
      </c>
      <c r="C97" s="18" t="n">
        <v>116286.98</v>
      </c>
      <c r="D97" s="19">
        <f>C97/$C$124</f>
        <v/>
      </c>
      <c r="E97" s="38" t="inlineStr">
        <is>
          <t>B128FF8</t>
        </is>
      </c>
    </row>
    <row r="98">
      <c r="A98" s="28" t="n">
        <v>498960</v>
      </c>
      <c r="B98" s="2" t="inlineStr">
        <is>
          <t>AL ANSARI FINANCIAL SERVICES PJSC COMMON STOCK AED</t>
        </is>
      </c>
      <c r="C98" s="18" t="n">
        <v>113077.1</v>
      </c>
      <c r="D98" s="19">
        <f>C98/$C$124</f>
        <v/>
      </c>
      <c r="E98" s="38" t="inlineStr">
        <is>
          <t>BMWB101</t>
        </is>
      </c>
    </row>
    <row r="99">
      <c r="A99" s="28" t="n">
        <v>133931</v>
      </c>
      <c r="B99" s="2" t="inlineStr">
        <is>
          <t>ADNOC LOGISTICS &amp; SERVICES COMMON STOCK AED</t>
        </is>
      </c>
      <c r="C99" s="18" t="n">
        <v>111673.16</v>
      </c>
      <c r="D99" s="19">
        <f>C99/$C$124</f>
        <v/>
      </c>
      <c r="E99" s="38" t="inlineStr">
        <is>
          <t>BRBN103</t>
        </is>
      </c>
    </row>
    <row r="100">
      <c r="A100" s="28" t="n">
        <v>2526</v>
      </c>
      <c r="B100" s="2" t="inlineStr">
        <is>
          <t>BUPA ARABIA FOR COOPERATIVE INSURANCE CO COMMON STOCK SAR 10</t>
        </is>
      </c>
      <c r="C100" s="18" t="n">
        <v>109279.55</v>
      </c>
      <c r="D100" s="19">
        <f>C100/$C$124</f>
        <v/>
      </c>
      <c r="E100" s="38" t="inlineStr">
        <is>
          <t>B2RLCR0</t>
        </is>
      </c>
    </row>
    <row r="101">
      <c r="A101" s="28" t="n">
        <v>24782</v>
      </c>
      <c r="B101" s="2" t="inlineStr">
        <is>
          <t>ARABIAN CENTRES CO LTD COMMON STOCK SAR 10</t>
        </is>
      </c>
      <c r="C101" s="18" t="n">
        <v>105343.48</v>
      </c>
      <c r="D101" s="19">
        <f>C101/$C$124</f>
        <v/>
      </c>
      <c r="E101" s="38" t="inlineStr">
        <is>
          <t>BKBF694</t>
        </is>
      </c>
    </row>
    <row r="102">
      <c r="A102" s="28" t="n">
        <v>2041744</v>
      </c>
      <c r="B102" s="2" t="inlineStr">
        <is>
          <t>ROSNEFT OIL CO PJSC COMMON STOCK RUB 0.01</t>
        </is>
      </c>
      <c r="C102" s="18" t="n">
        <v>59681.75</v>
      </c>
      <c r="D102" s="19">
        <f>C102/$C$124</f>
        <v/>
      </c>
      <c r="E102" s="38" t="inlineStr">
        <is>
          <t>0H5827S</t>
        </is>
      </c>
    </row>
    <row r="103">
      <c r="A103" s="28" t="n">
        <v>1677948</v>
      </c>
      <c r="B103" s="2" t="inlineStr">
        <is>
          <t>ROSNEFT OIL CO PJSC COMMON STOCK RUB</t>
        </is>
      </c>
      <c r="C103" s="18" t="n">
        <v>45218.16</v>
      </c>
      <c r="D103" s="19">
        <f>C103/$C$124</f>
        <v/>
      </c>
      <c r="E103" s="38" t="inlineStr">
        <is>
          <t>2H7674S</t>
        </is>
      </c>
    </row>
    <row r="104">
      <c r="A104" s="28" t="n"/>
      <c r="B104" s="27" t="inlineStr">
        <is>
          <t>Subtotal</t>
        </is>
      </c>
      <c r="C104" s="29">
        <f>+C103+C102</f>
        <v/>
      </c>
      <c r="D104" s="31">
        <f>C104/$C$127</f>
        <v/>
      </c>
      <c r="E104" s="38" t="n"/>
    </row>
    <row r="105">
      <c r="A105" s="28" t="n">
        <v>2657</v>
      </c>
      <c r="B105" s="2" t="inlineStr">
        <is>
          <t>ERSTE GROUP BANK AG COMMON STOCK EUR 0</t>
        </is>
      </c>
      <c r="C105" s="18" t="n">
        <v>90543.28</v>
      </c>
      <c r="D105" s="19">
        <f>C105/$C$124</f>
        <v/>
      </c>
      <c r="E105" s="38" t="inlineStr">
        <is>
          <t>5289837</t>
        </is>
      </c>
    </row>
    <row r="106">
      <c r="A106" s="28" t="n">
        <v>20379</v>
      </c>
      <c r="B106" s="2" t="inlineStr">
        <is>
          <t>MOTUS HOLDINGS LTD COMMON STOCK ZAR</t>
        </is>
      </c>
      <c r="C106" s="18" t="n">
        <v>89493.67</v>
      </c>
      <c r="D106" s="19">
        <f>C106/$C$124</f>
        <v/>
      </c>
      <c r="E106" s="38" t="inlineStr">
        <is>
          <t>BDRN3H0</t>
        </is>
      </c>
    </row>
    <row r="107">
      <c r="A107" s="28" t="n">
        <v>3657350</v>
      </c>
      <c r="B107" s="2" t="inlineStr">
        <is>
          <t>NOVOLIPETSK STEEL PJSC COMMON STOCK RUB</t>
        </is>
      </c>
      <c r="C107" s="18" t="n">
        <v>60000.03</v>
      </c>
      <c r="D107" s="19">
        <f>C107/$C$124</f>
        <v/>
      </c>
      <c r="E107" s="38" t="inlineStr">
        <is>
          <t>2H7675S</t>
        </is>
      </c>
    </row>
    <row r="108">
      <c r="A108" s="28" t="n">
        <v>180877</v>
      </c>
      <c r="B108" s="2" t="inlineStr">
        <is>
          <t>MAGNIT PJSC COMMON STOCK RUB 0.01</t>
        </is>
      </c>
      <c r="C108" s="18" t="n">
        <v>53215.05</v>
      </c>
      <c r="D108" s="19">
        <f>C108/$C$124</f>
        <v/>
      </c>
      <c r="E108" s="38" t="inlineStr">
        <is>
          <t>0H5813S</t>
        </is>
      </c>
    </row>
    <row r="109">
      <c r="A109" s="28" t="n">
        <v>1265335</v>
      </c>
      <c r="B109" s="2" t="inlineStr">
        <is>
          <t>GAZPROM NEFT PJSC COMMON STOCK RUB</t>
        </is>
      </c>
      <c r="C109" s="18" t="n">
        <v>48088.73</v>
      </c>
      <c r="D109" s="19">
        <f>C109/$C$124</f>
        <v/>
      </c>
      <c r="E109" s="38" t="inlineStr">
        <is>
          <t>0H5803S</t>
        </is>
      </c>
    </row>
    <row r="110">
      <c r="A110" s="28" t="n">
        <v>730066</v>
      </c>
      <c r="B110" s="2" t="inlineStr">
        <is>
          <t>TATNEFT PJSC COMMON STOCK RUB</t>
        </is>
      </c>
      <c r="C110" s="18" t="n">
        <v>26007.19</v>
      </c>
      <c r="D110" s="19">
        <f>C110/$C$124</f>
        <v/>
      </c>
      <c r="E110" s="38" t="inlineStr">
        <is>
          <t>0H5822S</t>
        </is>
      </c>
    </row>
    <row r="111">
      <c r="A111" s="28" t="n">
        <v>571359</v>
      </c>
      <c r="B111" s="2" t="inlineStr">
        <is>
          <t>TATNEFT PJSC PREFERENCE RUB 1</t>
        </is>
      </c>
      <c r="C111" s="18" t="n">
        <v>18024.52</v>
      </c>
      <c r="D111" s="19">
        <f>C111/$C$124</f>
        <v/>
      </c>
      <c r="E111" s="38" t="inlineStr">
        <is>
          <t>0H5816S</t>
        </is>
      </c>
    </row>
    <row r="112">
      <c r="A112" s="28" t="n"/>
      <c r="B112" s="27" t="inlineStr">
        <is>
          <t>Subtotal</t>
        </is>
      </c>
      <c r="C112" s="29">
        <f>+C111+C110</f>
        <v/>
      </c>
      <c r="D112" s="31">
        <f>C112/$C$127</f>
        <v/>
      </c>
      <c r="E112" s="38" t="n"/>
    </row>
    <row r="113">
      <c r="A113" s="28" t="n">
        <v>6156103</v>
      </c>
      <c r="B113" s="2" t="inlineStr">
        <is>
          <t>ROSTELECOM PJSC COMMON STOCK RUB</t>
        </is>
      </c>
      <c r="C113" s="18" t="n">
        <v>41481.43</v>
      </c>
      <c r="D113" s="19">
        <f>C113/$C$124</f>
        <v/>
      </c>
      <c r="E113" s="38" t="inlineStr">
        <is>
          <t>0H5802S</t>
        </is>
      </c>
    </row>
    <row r="114">
      <c r="A114" s="41" t="n">
        <v>21233273216</v>
      </c>
      <c r="B114" s="2" t="inlineStr">
        <is>
          <t>VTB BANK PJSC COMMON STOCK RUB 0.01</t>
        </is>
      </c>
      <c r="C114" s="33" t="n">
        <v>39683.69</v>
      </c>
      <c r="D114" s="19">
        <f>C114/$C$124</f>
        <v/>
      </c>
      <c r="E114" s="38" t="inlineStr">
        <is>
          <t>0H5837S</t>
        </is>
      </c>
    </row>
    <row r="115">
      <c r="A115" s="28" t="n">
        <v>29773</v>
      </c>
      <c r="B115" s="2" t="inlineStr">
        <is>
          <t>POLYUS PJSC COMMON STOCK RUB</t>
        </is>
      </c>
      <c r="C115" s="18" t="n">
        <v>28977.92</v>
      </c>
      <c r="D115" s="19">
        <f>C115/$C$124</f>
        <v/>
      </c>
      <c r="E115" s="38" t="inlineStr">
        <is>
          <t>2H7182S</t>
        </is>
      </c>
    </row>
    <row r="116">
      <c r="A116" s="28" t="n">
        <v>169819</v>
      </c>
      <c r="B116" s="2" t="inlineStr">
        <is>
          <t>YANDEX NV COMMON STOCK USD 0.01</t>
        </is>
      </c>
      <c r="C116" s="18" t="n">
        <v>25257.15</v>
      </c>
      <c r="D116" s="19">
        <f>C116/$C$124</f>
        <v/>
      </c>
      <c r="E116" s="38" t="inlineStr">
        <is>
          <t>0H6379S</t>
        </is>
      </c>
    </row>
    <row r="117">
      <c r="A117" s="28" t="n">
        <v>432517</v>
      </c>
      <c r="B117" s="2" t="inlineStr">
        <is>
          <t>MD MEDICAL GROUP INVESTMENTS PLC GDR USD</t>
        </is>
      </c>
      <c r="C117" s="18" t="n">
        <v>19359.59</v>
      </c>
      <c r="D117" s="19">
        <f>C117/$C$124</f>
        <v/>
      </c>
      <c r="E117" s="38" t="inlineStr">
        <is>
          <t>0H6371S</t>
        </is>
      </c>
    </row>
    <row r="118">
      <c r="A118" s="28" t="n">
        <v>12313057</v>
      </c>
      <c r="B118" s="2" t="inlineStr">
        <is>
          <t>SISTEMA PJSFC COMMON STOCK RUB 0.09</t>
        </is>
      </c>
      <c r="C118" s="18" t="n">
        <v>14551.05</v>
      </c>
      <c r="D118" s="19">
        <f>C118/$C$124</f>
        <v/>
      </c>
      <c r="E118" s="38" t="inlineStr">
        <is>
          <t>0H5808S</t>
        </is>
      </c>
    </row>
    <row r="119">
      <c r="A119" s="28" t="n">
        <v>577525</v>
      </c>
      <c r="B119" s="2" t="inlineStr">
        <is>
          <t>FIX PRICE GROUP LTD GDR</t>
        </is>
      </c>
      <c r="C119" s="18" t="n">
        <v>4263.02</v>
      </c>
      <c r="D119" s="19">
        <f>C119/$C$124</f>
        <v/>
      </c>
      <c r="E119" s="38" t="inlineStr">
        <is>
          <t>0H6372S</t>
        </is>
      </c>
    </row>
    <row r="120">
      <c r="A120" s="28" t="n">
        <v>75226</v>
      </c>
      <c r="B120" s="2" t="inlineStr">
        <is>
          <t>TCS GROUP HOLDING PLC GDR</t>
        </is>
      </c>
      <c r="C120" s="18" t="n">
        <v>1886.19</v>
      </c>
      <c r="D120" s="19">
        <f>C120/$C$124</f>
        <v/>
      </c>
      <c r="E120" s="38" t="inlineStr">
        <is>
          <t>0H6380S</t>
        </is>
      </c>
    </row>
    <row r="121">
      <c r="A121" s="28" t="n">
        <v>275182</v>
      </c>
      <c r="B121" s="2" t="inlineStr">
        <is>
          <t>X 5 RETAIL GROUP NV-REGS GDR</t>
        </is>
      </c>
      <c r="C121" s="18" t="n">
        <v>1148.31</v>
      </c>
      <c r="D121" s="19">
        <f>C121/$C$124</f>
        <v/>
      </c>
      <c r="E121" s="38" t="inlineStr">
        <is>
          <t>0H6365S</t>
        </is>
      </c>
    </row>
    <row r="122">
      <c r="A122" s="28" t="n">
        <v>552780</v>
      </c>
      <c r="B122" s="2" t="inlineStr">
        <is>
          <t>SEVERSTAL PAO GDR USD</t>
        </is>
      </c>
      <c r="C122" s="18" t="n">
        <v>260.88</v>
      </c>
      <c r="D122" s="19">
        <f>C122/$C$124</f>
        <v/>
      </c>
      <c r="E122" s="38" t="inlineStr">
        <is>
          <t>0H6368S</t>
        </is>
      </c>
    </row>
    <row r="123">
      <c r="A123" s="28" t="n"/>
      <c r="B123" s="2" t="n"/>
      <c r="C123" s="18" t="n"/>
      <c r="D123" s="19" t="n"/>
      <c r="E123" s="38" t="n"/>
    </row>
    <row r="124">
      <c r="A124" s="28" t="n"/>
      <c r="B124" s="21" t="inlineStr">
        <is>
          <t>Total portfolio</t>
        </is>
      </c>
      <c r="C124" s="39">
        <f>SUM(C12:C29)+SUM(C31:C43)+SUM(C45:C48)+SUM(C50:C81)+SUM(C83:C103)+SUM(C105:C111)+SUM(C113:C122)</f>
        <v/>
      </c>
      <c r="D124" s="19">
        <f>C124/$C$127</f>
        <v/>
      </c>
      <c r="E124" s="20" t="n"/>
    </row>
    <row r="125">
      <c r="A125" s="28" t="n"/>
      <c r="B125" s="21" t="inlineStr">
        <is>
          <t>Net Current Assets</t>
        </is>
      </c>
      <c r="C125" s="39" t="n">
        <v>115300.95</v>
      </c>
      <c r="D125" s="19">
        <f>C125/$C$127</f>
        <v/>
      </c>
      <c r="E125" s="20" t="n"/>
    </row>
    <row r="126">
      <c r="A126" s="28" t="n"/>
      <c r="B126" s="21" t="n"/>
      <c r="C126" s="39" t="n"/>
      <c r="D126" s="32" t="n"/>
      <c r="E126" s="20" t="n"/>
    </row>
    <row r="127">
      <c r="A127" s="17" t="n"/>
      <c r="B127" s="21" t="inlineStr">
        <is>
          <t>Total Assets</t>
        </is>
      </c>
      <c r="C127" s="22">
        <f>C124+C125</f>
        <v/>
      </c>
      <c r="D127" s="19">
        <f>C127/$C$127</f>
        <v/>
      </c>
      <c r="E127" s="3" t="n"/>
    </row>
    <row r="128">
      <c r="A128"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9"/>
    <row r="130"/>
    <row r="131"/>
  </sheetData>
  <mergeCells count="2">
    <mergeCell ref="A128:E131"/>
    <mergeCell ref="A3:E6"/>
  </mergeCells>
  <conditionalFormatting sqref="B12:B14">
    <cfRule type="containsText" priority="5" operator="containsText" dxfId="0" text="LIQUIDITY">
      <formula>NOT(ISERROR(SEARCH("LIQUIDITY",B12)))</formula>
    </cfRule>
  </conditionalFormatting>
  <conditionalFormatting sqref="B16:B123">
    <cfRule type="containsText" priority="1" operator="containsText" dxfId="0" text="LIQUIDITY">
      <formula>NOT(ISERROR(SEARCH("LIQUIDITY",B16)))</formula>
    </cfRule>
  </conditionalFormatting>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4.7109375" customWidth="1" style="42" min="1" max="1"/>
    <col width="61.42578125" bestFit="1" customWidth="1" style="42" min="2" max="2"/>
    <col width="10.85546875" bestFit="1" customWidth="1" style="42" min="3" max="3"/>
    <col width="8.5703125" bestFit="1" customWidth="1" style="42" min="4" max="4"/>
    <col width="10.7109375" bestFit="1" customWidth="1" style="42" min="5" max="5"/>
  </cols>
  <sheetData>
    <row r="1">
      <c r="A1" s="1" t="inlineStr">
        <is>
          <t>JPMorgan Emerging Europe, Middle East and Africa Securities plc</t>
        </is>
      </c>
      <c r="B1" s="2" t="n"/>
      <c r="C1" s="3" t="n"/>
      <c r="D1" s="3" t="n"/>
      <c r="E1" s="3" t="n"/>
    </row>
    <row r="2">
      <c r="A2" s="4" t="n"/>
      <c r="B2" s="2" t="n"/>
      <c r="C2" s="3" t="n"/>
      <c r="D2" s="3" t="n"/>
      <c r="E2" s="3"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c r="C7" s="3" t="n"/>
      <c r="D7" s="3" t="n"/>
      <c r="E7" s="3" t="n"/>
    </row>
    <row r="8">
      <c r="A8" s="4" t="inlineStr">
        <is>
          <t>Full portfolio listing as at close of business 31st December 2023</t>
        </is>
      </c>
      <c r="B8" s="2" t="n"/>
      <c r="C8" s="3" t="n"/>
      <c r="D8" s="3" t="n"/>
      <c r="E8" s="3" t="n"/>
    </row>
    <row r="9">
      <c r="A9" s="6" t="n"/>
      <c r="B9" s="2" t="n"/>
      <c r="C9" s="3" t="n"/>
      <c r="D9" s="3" t="n"/>
      <c r="E9" s="3" t="n"/>
    </row>
    <row r="10" ht="24" customHeight="1" s="42">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17" t="n">
        <v>1000786.64</v>
      </c>
      <c r="B12" s="45" t="inlineStr">
        <is>
          <t>JPM GBP LIQUIDITY LVNAV X (DIST.)</t>
        </is>
      </c>
      <c r="C12" s="18" t="n">
        <v>1000786.64</v>
      </c>
      <c r="D12" s="19">
        <f>C12/$C$121</f>
        <v/>
      </c>
      <c r="E12" s="20" t="inlineStr">
        <is>
          <t>5819115</t>
        </is>
      </c>
    </row>
    <row r="13">
      <c r="A13" s="28" t="n">
        <v>48261</v>
      </c>
      <c r="B13" s="2" t="inlineStr">
        <is>
          <t>AL RAJHI BANK COMMON STOCK SAR 10</t>
        </is>
      </c>
      <c r="C13" s="18" t="n">
        <v>876279.63</v>
      </c>
      <c r="D13" s="19">
        <f>C13/$C$121</f>
        <v/>
      </c>
      <c r="E13" s="38" t="inlineStr">
        <is>
          <t>B12LZH9</t>
        </is>
      </c>
    </row>
    <row r="14">
      <c r="A14" s="28" t="n">
        <v>95550</v>
      </c>
      <c r="B14" s="2" t="inlineStr">
        <is>
          <t>SAUDI ARABIAN OIL CO COMMON STOCK SAR</t>
        </is>
      </c>
      <c r="C14" s="18" t="n">
        <v>659585.8100000001</v>
      </c>
      <c r="D14" s="19">
        <f>C14/$C$121</f>
        <v/>
      </c>
      <c r="E14" s="20" t="inlineStr">
        <is>
          <t>BJTM270</t>
        </is>
      </c>
    </row>
    <row r="15">
      <c r="A15" s="41" t="n">
        <v>81271</v>
      </c>
      <c r="B15" s="2" t="inlineStr">
        <is>
          <t>THE SAUDI NATIONAL BANK</t>
        </is>
      </c>
      <c r="C15" s="33" t="n">
        <v>652820.08</v>
      </c>
      <c r="D15" s="19">
        <f>C15/$C$121</f>
        <v/>
      </c>
      <c r="E15" s="20" t="inlineStr">
        <is>
          <t>BSHYYN1</t>
        </is>
      </c>
    </row>
    <row r="16">
      <c r="A16" s="28" t="n">
        <v>164763</v>
      </c>
      <c r="B16" s="2" t="inlineStr">
        <is>
          <t>FIRSTRAND LTD COMMON STOCK ZAR 1</t>
        </is>
      </c>
      <c r="C16" s="18" t="n">
        <v>517620.69</v>
      </c>
      <c r="D16" s="19">
        <f>C16/$C$121</f>
        <v/>
      </c>
      <c r="E16" s="38" t="inlineStr">
        <is>
          <t>6606996</t>
        </is>
      </c>
    </row>
    <row r="17">
      <c r="A17" s="28" t="n">
        <v>131277</v>
      </c>
      <c r="B17" s="2" t="inlineStr">
        <is>
          <t>QATAR NATIONAL BANK QPSC COMMON STOCK QAR 1</t>
        </is>
      </c>
      <c r="C17" s="18" t="n">
        <v>446023.36</v>
      </c>
      <c r="D17" s="19">
        <f>C17/$C$121</f>
        <v/>
      </c>
      <c r="E17" s="38" t="inlineStr">
        <is>
          <t>6148197</t>
        </is>
      </c>
    </row>
    <row r="18">
      <c r="A18" s="41" t="n">
        <v>52618</v>
      </c>
      <c r="B18" s="2" t="inlineStr">
        <is>
          <t>SAUDI TELECOM CO COMMON STOCK</t>
        </is>
      </c>
      <c r="C18" s="33" t="n">
        <v>444674.65</v>
      </c>
      <c r="D18" s="19">
        <f>C18/$C$121</f>
        <v/>
      </c>
      <c r="E18" s="20" t="inlineStr">
        <is>
          <t>B12M7Q5</t>
        </is>
      </c>
    </row>
    <row r="19">
      <c r="A19" s="28" t="n">
        <v>47354</v>
      </c>
      <c r="B19" s="2" t="inlineStr">
        <is>
          <t>STANDARD BANK GROUP LTD COMMON STOCK ZAR 10</t>
        </is>
      </c>
      <c r="C19" s="18" t="n">
        <v>421826.67</v>
      </c>
      <c r="D19" s="19">
        <f>C19/$C$121</f>
        <v/>
      </c>
      <c r="E19" s="20" t="inlineStr">
        <is>
          <t>B030GJ7</t>
        </is>
      </c>
    </row>
    <row r="20">
      <c r="A20" s="28" t="n">
        <v>31177</v>
      </c>
      <c r="B20" s="2" t="inlineStr">
        <is>
          <t>GOLD FIELDS LTD COMMON STOCK ZAR 50</t>
        </is>
      </c>
      <c r="C20" s="18" t="n">
        <v>370439.85</v>
      </c>
      <c r="D20" s="19">
        <f>C20/$C$121</f>
        <v/>
      </c>
      <c r="E20" s="20" t="inlineStr">
        <is>
          <t>6280215</t>
        </is>
      </c>
    </row>
    <row r="21">
      <c r="A21" s="28" t="n">
        <v>2744</v>
      </c>
      <c r="B21" s="2" t="inlineStr">
        <is>
          <t>NASPERS LTD COMMON STOCK ZAR 2</t>
        </is>
      </c>
      <c r="C21" s="18" t="n">
        <v>367586.62</v>
      </c>
      <c r="D21" s="19">
        <f>C21/$C$121</f>
        <v/>
      </c>
      <c r="E21" s="20" t="inlineStr">
        <is>
          <t>BN0VX82</t>
        </is>
      </c>
    </row>
    <row r="22">
      <c r="A22" s="28" t="n">
        <v>74251</v>
      </c>
      <c r="B22" s="2" t="inlineStr">
        <is>
          <t>MTN GROUP LTD COMMON STOCK ZAR 0.01</t>
        </is>
      </c>
      <c r="C22" s="18" t="n">
        <v>367100.12</v>
      </c>
      <c r="D22" s="19">
        <f>C22/$C$121</f>
        <v/>
      </c>
      <c r="E22" s="20" t="inlineStr">
        <is>
          <t>6563206</t>
        </is>
      </c>
    </row>
    <row r="23">
      <c r="A23" s="28" t="n">
        <v>200673</v>
      </c>
      <c r="B23" s="2" t="inlineStr">
        <is>
          <t>EMAAR PROPERTIES PJSC COMMON STOCK AED 1</t>
        </is>
      </c>
      <c r="C23" s="18" t="n">
        <v>338596.61</v>
      </c>
      <c r="D23" s="19">
        <f>C23/$C$121</f>
        <v/>
      </c>
      <c r="E23" s="20" t="inlineStr">
        <is>
          <t>B01RM25</t>
        </is>
      </c>
    </row>
    <row r="24">
      <c r="A24" s="28" t="n">
        <v>81600</v>
      </c>
      <c r="B24" s="2" t="inlineStr">
        <is>
          <t>EMIRATES NBD BANK PJSC COMMON STOCK AED 1</t>
        </is>
      </c>
      <c r="C24" s="18" t="n">
        <v>300639.36</v>
      </c>
      <c r="D24" s="19">
        <f>C24/$C$121</f>
        <v/>
      </c>
      <c r="E24" s="20" t="inlineStr">
        <is>
          <t>B28PFX8</t>
        </is>
      </c>
    </row>
    <row r="25">
      <c r="A25" s="28" t="n">
        <v>16358</v>
      </c>
      <c r="B25" s="2" t="inlineStr">
        <is>
          <t>BID CORP LTD COMMON STOCK ZAR</t>
        </is>
      </c>
      <c r="C25" s="18" t="n">
        <v>297270.13</v>
      </c>
      <c r="D25" s="19">
        <f>C25/$C$121</f>
        <v/>
      </c>
      <c r="E25" s="20" t="inlineStr">
        <is>
          <t>BZBFKT7</t>
        </is>
      </c>
    </row>
    <row r="26">
      <c r="A26" s="28" t="n">
        <v>95185</v>
      </c>
      <c r="B26" s="2" t="inlineStr">
        <is>
          <t>SANLAM LTD COMMON STOCK ZAR 1</t>
        </is>
      </c>
      <c r="C26" s="18" t="n">
        <v>294787.67</v>
      </c>
      <c r="D26" s="19">
        <f>C26/$C$121</f>
        <v/>
      </c>
      <c r="E26" s="20" t="inlineStr">
        <is>
          <t>B0L6750</t>
        </is>
      </c>
    </row>
    <row r="27">
      <c r="A27" s="28" t="n">
        <v>362649</v>
      </c>
      <c r="B27" s="2" t="inlineStr">
        <is>
          <t>LUKOIL PJSC COMMON STOCK RUB 0.025 RUB</t>
        </is>
      </c>
      <c r="C27" s="18" t="n">
        <v>163986.91</v>
      </c>
      <c r="D27" s="19">
        <f>C27/$C$121</f>
        <v/>
      </c>
      <c r="E27" s="20" t="inlineStr">
        <is>
          <t>2H6442S</t>
        </is>
      </c>
    </row>
    <row r="28">
      <c r="A28" s="28" t="n">
        <v>262047</v>
      </c>
      <c r="B28" s="2" t="inlineStr">
        <is>
          <t>LUKOIL PJSC COMMON STOCK RUB</t>
        </is>
      </c>
      <c r="C28" s="18" t="n">
        <v>128185.09</v>
      </c>
      <c r="D28" s="19">
        <f>C28/$C$121</f>
        <v/>
      </c>
      <c r="E28" s="20" t="inlineStr">
        <is>
          <t>0H5797S</t>
        </is>
      </c>
    </row>
    <row r="29">
      <c r="A29" s="28" t="n"/>
      <c r="B29" s="27" t="inlineStr">
        <is>
          <t>Subtotal</t>
        </is>
      </c>
      <c r="C29" s="29">
        <f>+C28+C27</f>
        <v/>
      </c>
      <c r="D29" s="31">
        <f>C29/$C$124</f>
        <v/>
      </c>
      <c r="E29" s="20" t="n"/>
    </row>
    <row r="30">
      <c r="A30" s="41" t="n">
        <v>35961</v>
      </c>
      <c r="B30" s="2" t="inlineStr">
        <is>
          <t>ALINMA BANK COMMON STOCK SAR 10</t>
        </is>
      </c>
      <c r="C30" s="33" t="n">
        <v>291494.35</v>
      </c>
      <c r="D30" s="19">
        <f>C30/$C$121</f>
        <v/>
      </c>
      <c r="E30" s="20" t="inlineStr">
        <is>
          <t>B39NWT3</t>
        </is>
      </c>
    </row>
    <row r="31">
      <c r="A31" s="41" t="n">
        <v>23944</v>
      </c>
      <c r="B31" s="2" t="inlineStr">
        <is>
          <t>SHOPRITE HOLDINGS LTD COMMON STOCK ZAR 113.4</t>
        </is>
      </c>
      <c r="C31" s="33" t="n">
        <v>282495.77</v>
      </c>
      <c r="D31" s="19">
        <f>C31/$C$121</f>
        <v/>
      </c>
      <c r="E31" s="20" t="inlineStr">
        <is>
          <t>6801575</t>
        </is>
      </c>
    </row>
    <row r="32">
      <c r="A32" s="28" t="n">
        <v>7889</v>
      </c>
      <c r="B32" s="2" t="inlineStr">
        <is>
          <t>OTP BANK NYRT COMMON STOCK HUF 100</t>
        </is>
      </c>
      <c r="C32" s="18" t="n">
        <v>282230.43</v>
      </c>
      <c r="D32" s="19">
        <f>C32/$C$121</f>
        <v/>
      </c>
      <c r="E32" s="20" t="inlineStr">
        <is>
          <t>7320154</t>
        </is>
      </c>
    </row>
    <row r="33">
      <c r="A33" s="28" t="n">
        <v>24260</v>
      </c>
      <c r="B33" s="2" t="inlineStr">
        <is>
          <t>HALYK SAVINGS BANK OF KAZAKHSTAN JSC GDR USD</t>
        </is>
      </c>
      <c r="C33" s="18" t="n">
        <v>279747.41</v>
      </c>
      <c r="D33" s="19">
        <f>C33/$C$121</f>
        <v/>
      </c>
      <c r="E33" s="20" t="inlineStr">
        <is>
          <t>B1KDG41</t>
        </is>
      </c>
    </row>
    <row r="34">
      <c r="A34" s="41" t="n">
        <v>11953</v>
      </c>
      <c r="B34" s="2" t="inlineStr">
        <is>
          <t>JUMBO SA COMMON STOCK EUR 0.88</t>
        </is>
      </c>
      <c r="C34" s="18" t="n">
        <v>259976.01</v>
      </c>
      <c r="D34" s="19">
        <f>C34/$C$121</f>
        <v/>
      </c>
      <c r="E34" s="20" t="inlineStr">
        <is>
          <t>7243530</t>
        </is>
      </c>
    </row>
    <row r="35">
      <c r="A35" s="28" t="n">
        <v>35367</v>
      </c>
      <c r="B35" s="2" t="inlineStr">
        <is>
          <t>ABSA GROUP LTD</t>
        </is>
      </c>
      <c r="C35" s="18" t="n">
        <v>246354.84</v>
      </c>
      <c r="D35" s="19">
        <f>C35/$C$121</f>
        <v/>
      </c>
      <c r="E35" s="38" t="inlineStr">
        <is>
          <t>BFX05H3</t>
        </is>
      </c>
    </row>
    <row r="36">
      <c r="A36" s="28" t="n">
        <v>123763</v>
      </c>
      <c r="B36" s="2" t="inlineStr">
        <is>
          <t>ABU DHABI COMMERCIAL BANK PJSC COMMON STOCK AED 1</t>
        </is>
      </c>
      <c r="C36" s="18" t="n">
        <v>241075.04</v>
      </c>
      <c r="D36" s="19">
        <f>C36/$C$121</f>
        <v/>
      </c>
      <c r="E36" s="38" t="inlineStr">
        <is>
          <t>6545464</t>
        </is>
      </c>
    </row>
    <row r="37">
      <c r="A37" s="28" t="n">
        <v>38596</v>
      </c>
      <c r="B37" s="2" t="inlineStr">
        <is>
          <t>RIYAD BANK COMMON STOCK SAR 10</t>
        </is>
      </c>
      <c r="C37" s="18" t="n">
        <v>230098.52</v>
      </c>
      <c r="D37" s="19">
        <f>C37/$C$121</f>
        <v/>
      </c>
      <c r="E37" s="38" t="inlineStr">
        <is>
          <t>B12LZW4</t>
        </is>
      </c>
    </row>
    <row r="38">
      <c r="A38" s="28" t="n">
        <v>8860909</v>
      </c>
      <c r="B38" s="2" t="inlineStr">
        <is>
          <t>GAZPROM PJSC COMMON STOCK RUB</t>
        </is>
      </c>
      <c r="C38" s="18" t="n">
        <v>200175.36</v>
      </c>
      <c r="D38" s="19">
        <f>C38/$C$121</f>
        <v/>
      </c>
      <c r="E38" s="38" t="inlineStr">
        <is>
          <t>0H5796S</t>
        </is>
      </c>
    </row>
    <row r="39">
      <c r="A39" s="28" t="n">
        <v>5365084</v>
      </c>
      <c r="B39" s="2" t="inlineStr">
        <is>
          <t>GAZPROM PJSC ADR</t>
        </is>
      </c>
      <c r="C39" s="18" t="n">
        <v>24468.62</v>
      </c>
      <c r="D39" s="19">
        <f>C39/$C$121</f>
        <v/>
      </c>
      <c r="E39" s="38" t="inlineStr">
        <is>
          <t>0H6364S</t>
        </is>
      </c>
    </row>
    <row r="40">
      <c r="A40" s="28" t="n"/>
      <c r="B40" s="27" t="inlineStr">
        <is>
          <t>Subtotal</t>
        </is>
      </c>
      <c r="C40" s="29">
        <f>+C39+C38</f>
        <v/>
      </c>
      <c r="D40" s="31">
        <f>C40/$C$124</f>
        <v/>
      </c>
      <c r="E40" s="38" t="n"/>
    </row>
    <row r="41">
      <c r="A41" s="41" t="n">
        <v>40671</v>
      </c>
      <c r="B41" s="2" t="inlineStr">
        <is>
          <t>NATIONAL BANK OF GREECE SA COMMON STOCK EUR 1</t>
        </is>
      </c>
      <c r="C41" s="33" t="n">
        <v>221605.24</v>
      </c>
      <c r="D41" s="19">
        <f>C41/$C$121</f>
        <v/>
      </c>
      <c r="E41" s="20" t="inlineStr">
        <is>
          <t>BG087C6</t>
        </is>
      </c>
    </row>
    <row r="42">
      <c r="A42" s="41" t="n">
        <v>11178</v>
      </c>
      <c r="B42" s="2" t="inlineStr">
        <is>
          <t>RICHTER GEDEON NYRT COMMON STOCK HUF 100</t>
        </is>
      </c>
      <c r="C42" s="18" t="n">
        <v>220601.14</v>
      </c>
      <c r="D42" s="19">
        <f>C42/$C$121</f>
        <v/>
      </c>
      <c r="E42" s="20" t="inlineStr">
        <is>
          <t>BC9ZH86</t>
        </is>
      </c>
    </row>
    <row r="43">
      <c r="A43" s="41" t="n">
        <v>12384</v>
      </c>
      <c r="B43" s="2" t="inlineStr">
        <is>
          <t>SAUDI BASIC INDUSTRIES CORP COMMON STOCK SAR 10</t>
        </is>
      </c>
      <c r="C43" s="18" t="n">
        <v>215272.54</v>
      </c>
      <c r="D43" s="19">
        <f>C43/$C$121</f>
        <v/>
      </c>
      <c r="E43" s="20" t="inlineStr">
        <is>
          <t>B1324D0</t>
        </is>
      </c>
    </row>
    <row r="44">
      <c r="A44" s="41" t="n">
        <v>7421</v>
      </c>
      <c r="B44" s="2" t="inlineStr">
        <is>
          <t>TBC BANK GROUP PLC COMMON STOCK GBP 1</t>
        </is>
      </c>
      <c r="C44" s="18" t="n">
        <v>209643.25</v>
      </c>
      <c r="D44" s="19">
        <f>C44/$C$121</f>
        <v/>
      </c>
      <c r="E44" s="20" t="inlineStr">
        <is>
          <t>BYT1830</t>
        </is>
      </c>
    </row>
    <row r="45">
      <c r="A45" s="41" t="n">
        <v>14455036</v>
      </c>
      <c r="B45" s="2" t="inlineStr">
        <is>
          <t>SBERBANK OF RUSSIA PJSC PREFERENCE RUB 3</t>
        </is>
      </c>
      <c r="C45" s="18" t="n">
        <v>180139.59</v>
      </c>
      <c r="D45" s="19">
        <f>C45/$C$121</f>
        <v/>
      </c>
      <c r="E45" s="20" t="inlineStr">
        <is>
          <t>0H5856S</t>
        </is>
      </c>
    </row>
    <row r="46">
      <c r="A46" s="41" t="n">
        <v>2355925</v>
      </c>
      <c r="B46" s="2" t="inlineStr">
        <is>
          <t>SBERBANK OF RUSSIA PJSC</t>
        </is>
      </c>
      <c r="C46" s="18" t="n">
        <v>29147.5</v>
      </c>
      <c r="D46" s="19">
        <f>C46/$C$121</f>
        <v/>
      </c>
      <c r="E46" s="20" t="inlineStr">
        <is>
          <t>0H5855S</t>
        </is>
      </c>
    </row>
    <row r="47">
      <c r="A47" s="41" t="n"/>
      <c r="B47" s="27" t="inlineStr">
        <is>
          <t>Subtotal</t>
        </is>
      </c>
      <c r="C47" s="29">
        <f>+C46+C45</f>
        <v/>
      </c>
      <c r="D47" s="31">
        <f>C47/$C$124</f>
        <v/>
      </c>
      <c r="E47" s="20" t="n"/>
    </row>
    <row r="48">
      <c r="A48" s="28" t="n">
        <v>13785</v>
      </c>
      <c r="B48" s="2" t="inlineStr">
        <is>
          <t>ANGLOGOLD ASHANTI PLC ZAR</t>
        </is>
      </c>
      <c r="C48" s="18" t="n">
        <v>207559.32</v>
      </c>
      <c r="D48" s="19">
        <f>C48/$C$121</f>
        <v/>
      </c>
      <c r="E48" s="20" t="inlineStr">
        <is>
          <t>BRF6FX9</t>
        </is>
      </c>
    </row>
    <row r="49">
      <c r="A49" s="28" t="n">
        <v>250715</v>
      </c>
      <c r="B49" s="2" t="inlineStr">
        <is>
          <t>ADNOC DRILLING CO PJSC COMMON STOCK AED</t>
        </is>
      </c>
      <c r="C49" s="18" t="n">
        <v>201342.17</v>
      </c>
      <c r="D49" s="19">
        <f>C49/$C$121</f>
        <v/>
      </c>
      <c r="E49" s="20" t="inlineStr">
        <is>
          <t>BN12D39</t>
        </is>
      </c>
    </row>
    <row r="50">
      <c r="A50" s="28" t="n">
        <v>19263</v>
      </c>
      <c r="B50" s="2" t="inlineStr">
        <is>
          <t>ETIHAD ETISALAT CO COMMON STOCK SAR 10</t>
        </is>
      </c>
      <c r="C50" s="18" t="n">
        <v>199057.04</v>
      </c>
      <c r="D50" s="19">
        <f>C50/$C$121</f>
        <v/>
      </c>
      <c r="E50" s="20" t="inlineStr">
        <is>
          <t>B12LR51</t>
        </is>
      </c>
    </row>
    <row r="51">
      <c r="A51" s="28" t="n">
        <v>39150</v>
      </c>
      <c r="B51" s="2" t="inlineStr">
        <is>
          <t>ADES HOLDING CO COMMON STOCK SAR 1</t>
        </is>
      </c>
      <c r="C51" s="18" t="n">
        <v>197367.43</v>
      </c>
      <c r="D51" s="19">
        <f>C51/$C$121</f>
        <v/>
      </c>
      <c r="E51" s="20" t="inlineStr">
        <is>
          <t>BR56KM3</t>
        </is>
      </c>
    </row>
    <row r="52">
      <c r="A52" s="28" t="n">
        <v>30929</v>
      </c>
      <c r="B52" s="2" t="inlineStr">
        <is>
          <t>MOL HUNGARIAN OIL &amp; GAS PLC COMMON STOCK HUF 125</t>
        </is>
      </c>
      <c r="C52" s="18" t="n">
        <v>196756.2</v>
      </c>
      <c r="D52" s="19">
        <f>C52/$C$121</f>
        <v/>
      </c>
      <c r="E52" s="20" t="inlineStr">
        <is>
          <t>BD5ZXH8</t>
        </is>
      </c>
    </row>
    <row r="53">
      <c r="A53" s="28" t="n">
        <v>172191</v>
      </c>
      <c r="B53" s="2" t="inlineStr">
        <is>
          <t>ALDAR PROPERTIES PJSC COMMON STOCK AED 1</t>
        </is>
      </c>
      <c r="C53" s="18" t="n">
        <v>196389.51</v>
      </c>
      <c r="D53" s="19">
        <f>C53/$C$121</f>
        <v/>
      </c>
      <c r="E53" s="20" t="inlineStr">
        <is>
          <t>B0LX3Y2</t>
        </is>
      </c>
    </row>
    <row r="54">
      <c r="A54" s="28" t="n">
        <v>4813</v>
      </c>
      <c r="B54" s="2" t="inlineStr">
        <is>
          <t>ARABIAN DRILLING CO COMMON STOCK SAR 10</t>
        </is>
      </c>
      <c r="C54" s="18" t="n">
        <v>190284.91</v>
      </c>
      <c r="D54" s="19">
        <f>C54/$C$121</f>
        <v/>
      </c>
      <c r="E54" s="20" t="inlineStr">
        <is>
          <t>BPNZYP9</t>
        </is>
      </c>
    </row>
    <row r="55">
      <c r="A55" s="41" t="n">
        <v>9203</v>
      </c>
      <c r="B55" s="2" t="inlineStr">
        <is>
          <t>MOTOR OIL HELLAS CORINTH REFINERIES SA COMMON STOCK EUR 0.75</t>
        </is>
      </c>
      <c r="C55" s="33" t="n">
        <v>189477.87</v>
      </c>
      <c r="D55" s="19">
        <f>C55/$C$121</f>
        <v/>
      </c>
      <c r="E55" s="20" t="inlineStr">
        <is>
          <t>5996234</t>
        </is>
      </c>
    </row>
    <row r="56">
      <c r="A56" s="28" t="n">
        <v>13624</v>
      </c>
      <c r="B56" s="2" t="inlineStr">
        <is>
          <t>CLICKS GROUP LTD COMMON STOCK ZAR 1</t>
        </is>
      </c>
      <c r="C56" s="18" t="n">
        <v>188894.76</v>
      </c>
      <c r="D56" s="19">
        <f>C56/$C$121</f>
        <v/>
      </c>
      <c r="E56" s="20" t="inlineStr">
        <is>
          <t>6105578</t>
        </is>
      </c>
    </row>
    <row r="57">
      <c r="A57" s="28" t="n">
        <v>3798</v>
      </c>
      <c r="B57" s="2" t="inlineStr">
        <is>
          <t>ARABIAN CONTRACTING SERVICES CO COMMON STOCK SAR</t>
        </is>
      </c>
      <c r="C57" s="18" t="n">
        <v>187973.39</v>
      </c>
      <c r="D57" s="19">
        <f>C57/$C$121</f>
        <v/>
      </c>
      <c r="E57" s="20" t="inlineStr">
        <is>
          <t>BP4DC81</t>
        </is>
      </c>
    </row>
    <row r="58">
      <c r="A58" s="28" t="n">
        <v>19935</v>
      </c>
      <c r="B58" s="2" t="inlineStr">
        <is>
          <t>POWSZECHNY ZAKLAD UBEZPIECZEN SA COMMON STOCK PLN 0.1</t>
        </is>
      </c>
      <c r="C58" s="18" t="n">
        <v>187903.5</v>
      </c>
      <c r="D58" s="19">
        <f>C58/$C$121</f>
        <v/>
      </c>
      <c r="E58" s="20" t="inlineStr">
        <is>
          <t>B63DG21</t>
        </is>
      </c>
    </row>
    <row r="59">
      <c r="A59" s="28" t="n">
        <v>40456</v>
      </c>
      <c r="B59" s="2" t="inlineStr">
        <is>
          <t>VODACOM GROUP LTD COMMON STOCK ZAR</t>
        </is>
      </c>
      <c r="C59" s="18" t="n">
        <v>183513.04</v>
      </c>
      <c r="D59" s="19">
        <f>C59/$C$121</f>
        <v/>
      </c>
      <c r="E59" s="20" t="inlineStr">
        <is>
          <t>B65B4D0</t>
        </is>
      </c>
    </row>
    <row r="60">
      <c r="A60" s="28" t="n">
        <v>1892</v>
      </c>
      <c r="B60" s="2" t="inlineStr">
        <is>
          <t>KRUK SA COMMON STOCK PLN 1</t>
        </is>
      </c>
      <c r="C60" s="18" t="n">
        <v>179959.26</v>
      </c>
      <c r="D60" s="19">
        <f>C60/$C$121</f>
        <v/>
      </c>
      <c r="E60" s="20" t="inlineStr">
        <is>
          <t>B4PTLY0</t>
        </is>
      </c>
    </row>
    <row r="61">
      <c r="A61" s="28" t="n">
        <v>16665</v>
      </c>
      <c r="B61" s="2" t="inlineStr">
        <is>
          <t>BIDVEST GROUP LTD/THE COMMON STOCK ZAR 5</t>
        </is>
      </c>
      <c r="C61" s="18" t="n">
        <v>179782.29</v>
      </c>
      <c r="D61" s="19">
        <f>C61/$C$121</f>
        <v/>
      </c>
      <c r="E61" s="20" t="inlineStr">
        <is>
          <t>6100089</t>
        </is>
      </c>
    </row>
    <row r="62">
      <c r="A62" s="28" t="n">
        <v>5598</v>
      </c>
      <c r="B62" s="2" t="inlineStr">
        <is>
          <t>MYTILINEOS SA COMMON STOCK EUR 0.97</t>
        </is>
      </c>
      <c r="C62" s="18" t="n">
        <v>177346.13</v>
      </c>
      <c r="D62" s="19">
        <f>C62/$C$121</f>
        <v/>
      </c>
      <c r="E62" s="20" t="inlineStr">
        <is>
          <t>5898664</t>
        </is>
      </c>
    </row>
    <row r="63">
      <c r="A63" s="28" t="n">
        <v>12128</v>
      </c>
      <c r="B63" s="2" t="inlineStr">
        <is>
          <t>NOVA LJUBLJANSKA BANKA DD GDR EUR</t>
        </is>
      </c>
      <c r="C63" s="18" t="n">
        <v>176555.44</v>
      </c>
      <c r="D63" s="19">
        <f>C63/$C$121</f>
        <v/>
      </c>
      <c r="E63" s="20" t="inlineStr">
        <is>
          <t>BGRPD22</t>
        </is>
      </c>
    </row>
    <row r="64">
      <c r="A64" s="28" t="n">
        <v>144384</v>
      </c>
      <c r="B64" s="2" t="inlineStr">
        <is>
          <t>DUBAI ISLAMIC BANK PJSC COMMON STOCK AED 1</t>
        </is>
      </c>
      <c r="C64" s="18" t="n">
        <v>176084.75</v>
      </c>
      <c r="D64" s="19">
        <f>C64/$C$121</f>
        <v/>
      </c>
      <c r="E64" s="20" t="inlineStr">
        <is>
          <t>6283452</t>
        </is>
      </c>
    </row>
    <row r="65">
      <c r="A65" s="28" t="n">
        <v>7386</v>
      </c>
      <c r="B65" s="2" t="inlineStr">
        <is>
          <t>MOUWASAT MEDICAL SERVICES CO COMMON STOCK SAR 10</t>
        </is>
      </c>
      <c r="C65" s="18" t="n">
        <v>172424.98</v>
      </c>
      <c r="D65" s="19">
        <f>C65/$C$121</f>
        <v/>
      </c>
      <c r="E65" s="20" t="inlineStr">
        <is>
          <t>B403QG4</t>
        </is>
      </c>
    </row>
    <row r="66">
      <c r="A66" s="28" t="n">
        <v>61281</v>
      </c>
      <c r="B66" s="2" t="inlineStr">
        <is>
          <t>PIRAEUS FINANCIAL HOLDINGS SA COMMON STOCK EUR 0.93</t>
        </is>
      </c>
      <c r="C66" s="18" t="n">
        <v>169925.46</v>
      </c>
      <c r="D66" s="19">
        <f>C66/$C$121</f>
        <v/>
      </c>
      <c r="E66" s="20" t="inlineStr">
        <is>
          <t>BNC0DB0</t>
        </is>
      </c>
    </row>
    <row r="67">
      <c r="A67" s="28" t="n">
        <v>49840</v>
      </c>
      <c r="B67" s="2" t="inlineStr">
        <is>
          <t>JARIR MARKETING CO COMMON STOCK SAR 1</t>
        </is>
      </c>
      <c r="C67" s="18" t="n">
        <v>162640.73</v>
      </c>
      <c r="D67" s="19">
        <f>C67/$C$121</f>
        <v/>
      </c>
      <c r="E67" s="20" t="inlineStr">
        <is>
          <t>B128FM5</t>
        </is>
      </c>
    </row>
    <row r="68">
      <c r="A68" s="28" t="n">
        <v>247235</v>
      </c>
      <c r="B68" s="2" t="inlineStr">
        <is>
          <t>ADNOC GAS PLC</t>
        </is>
      </c>
      <c r="C68" s="18" t="n">
        <v>162639.95</v>
      </c>
      <c r="D68" s="19">
        <f>C68/$C$121</f>
        <v/>
      </c>
      <c r="E68" s="20" t="inlineStr">
        <is>
          <t>BPJLW35</t>
        </is>
      </c>
    </row>
    <row r="69">
      <c r="A69" s="28" t="n">
        <v>50</v>
      </c>
      <c r="B69" s="2" t="inlineStr">
        <is>
          <t>LPP SA COMMON STOCK PLN 2</t>
        </is>
      </c>
      <c r="C69" s="18" t="n">
        <v>161186.32</v>
      </c>
      <c r="D69" s="19">
        <f>C69/$C$121</f>
        <v/>
      </c>
      <c r="E69" s="20" t="inlineStr">
        <is>
          <t>7127979</t>
        </is>
      </c>
    </row>
    <row r="70">
      <c r="A70" s="28" t="n">
        <v>9725</v>
      </c>
      <c r="B70" s="2" t="inlineStr">
        <is>
          <t>UNITED INTERNATIONAL TRANSPORTATION CO COMMON STOCK SAR 10</t>
        </is>
      </c>
      <c r="C70" s="18" t="n">
        <v>159896.45</v>
      </c>
      <c r="D70" s="19">
        <f>C70/$C$121</f>
        <v/>
      </c>
      <c r="E70" s="20" t="inlineStr">
        <is>
          <t>B2493D0</t>
        </is>
      </c>
    </row>
    <row r="71">
      <c r="A71" s="28" t="n">
        <v>20423</v>
      </c>
      <c r="B71" s="2" t="inlineStr">
        <is>
          <t>SAUDI AWWAL BANK COMMON STOCK SAR 10</t>
        </is>
      </c>
      <c r="C71" s="18" t="n">
        <v>158923.88</v>
      </c>
      <c r="D71" s="19">
        <f>C71/$C$121</f>
        <v/>
      </c>
      <c r="E71" s="20" t="inlineStr">
        <is>
          <t>B12LSY7</t>
        </is>
      </c>
    </row>
    <row r="72">
      <c r="A72" s="28" t="n">
        <v>22211</v>
      </c>
      <c r="B72" s="2" t="inlineStr">
        <is>
          <t>SAHARA INTERNATIONAL PETROCHEMICAL CO COMMON STOCK SAR 10</t>
        </is>
      </c>
      <c r="C72" s="18" t="n">
        <v>158201.98</v>
      </c>
      <c r="D72" s="19">
        <f>C72/$C$121</f>
        <v/>
      </c>
      <c r="E72" s="20" t="inlineStr">
        <is>
          <t>B1C1NH5</t>
        </is>
      </c>
    </row>
    <row r="73">
      <c r="A73" s="28" t="n">
        <v>36992</v>
      </c>
      <c r="B73" s="2" t="inlineStr">
        <is>
          <t>BANCA TRANSILVANIA SA COMMON STOCK RON 1</t>
        </is>
      </c>
      <c r="C73" s="18" t="n">
        <v>155927</v>
      </c>
      <c r="D73" s="19">
        <f>C73/$C$121</f>
        <v/>
      </c>
      <c r="E73" s="20" t="inlineStr">
        <is>
          <t>5393307</t>
        </is>
      </c>
    </row>
    <row r="74">
      <c r="A74" s="28" t="n">
        <v>8057</v>
      </c>
      <c r="B74" s="2" t="inlineStr">
        <is>
          <t>RIYADH CABLES GROUP CO COMMON STOCK SAR 10</t>
        </is>
      </c>
      <c r="C74" s="18" t="n">
        <v>155392.82</v>
      </c>
      <c r="D74" s="19">
        <f>C74/$C$121</f>
        <v/>
      </c>
      <c r="E74" s="20" t="inlineStr">
        <is>
          <t>BNBPXW7</t>
        </is>
      </c>
    </row>
    <row r="75">
      <c r="A75" s="28" t="n">
        <v>1268490</v>
      </c>
      <c r="B75" s="2" t="inlineStr">
        <is>
          <t>NOVATEK PJSC COMMON STOCK RUB 0.1</t>
        </is>
      </c>
      <c r="C75" s="18" t="n">
        <v>141243.7</v>
      </c>
      <c r="D75" s="19">
        <f>C75/$C$121</f>
        <v/>
      </c>
      <c r="E75" s="20" t="inlineStr">
        <is>
          <t>2H6464S</t>
        </is>
      </c>
    </row>
    <row r="76">
      <c r="A76" s="28" t="n">
        <v>103572</v>
      </c>
      <c r="B76" s="2" t="inlineStr">
        <is>
          <t>NOVATEK PJSC COMMON STOCK RUB 0.1</t>
        </is>
      </c>
      <c r="C76" s="18" t="n">
        <v>12475.56</v>
      </c>
      <c r="D76" s="19">
        <f>C76/$C$121</f>
        <v/>
      </c>
      <c r="E76" s="20" t="inlineStr">
        <is>
          <t>0H5828S</t>
        </is>
      </c>
    </row>
    <row r="77">
      <c r="A77" s="28" t="n"/>
      <c r="B77" s="27" t="inlineStr">
        <is>
          <t>Subtotal</t>
        </is>
      </c>
      <c r="C77" s="29">
        <f>+C76+C75</f>
        <v/>
      </c>
      <c r="D77" s="31">
        <f>C77/$C$124</f>
        <v/>
      </c>
      <c r="E77" s="20" t="n"/>
    </row>
    <row r="78">
      <c r="A78" s="28" t="n">
        <v>3884</v>
      </c>
      <c r="B78" s="2" t="inlineStr">
        <is>
          <t>BANK OF GEORGIA GROUP PLC COMMON STOCK GBP 1</t>
        </is>
      </c>
      <c r="C78" s="18" t="n">
        <v>153223.8</v>
      </c>
      <c r="D78" s="19">
        <f>C78/$C$121</f>
        <v/>
      </c>
      <c r="E78" s="20" t="inlineStr">
        <is>
          <t>BF4HYT8</t>
        </is>
      </c>
    </row>
    <row r="79">
      <c r="A79" s="28" t="n">
        <v>292031</v>
      </c>
      <c r="B79" s="2" t="inlineStr">
        <is>
          <t>DUBAI ELECTRICITY &amp; WATER AU</t>
        </is>
      </c>
      <c r="C79" s="18" t="n">
        <v>152813.46</v>
      </c>
      <c r="D79" s="19">
        <f>C79/$C$121</f>
        <v/>
      </c>
      <c r="E79" s="20" t="inlineStr">
        <is>
          <t>BJLTVJ4</t>
        </is>
      </c>
    </row>
    <row r="80">
      <c r="A80" s="28" t="n">
        <v>11282</v>
      </c>
      <c r="B80" s="2" t="inlineStr">
        <is>
          <t>OPAP SA COMMON STOCK EUR 0.3</t>
        </is>
      </c>
      <c r="C80" s="18" t="n">
        <v>150064.21</v>
      </c>
      <c r="D80" s="19">
        <f>C80/$C$121</f>
        <v/>
      </c>
      <c r="E80" s="20" t="inlineStr">
        <is>
          <t>7107250</t>
        </is>
      </c>
    </row>
    <row r="81">
      <c r="A81" s="28" t="n">
        <v>49360</v>
      </c>
      <c r="B81" s="2" t="inlineStr">
        <is>
          <t>FIRST ABU DHABI BANK PJSC COMMON STOCK AED 1</t>
        </is>
      </c>
      <c r="C81" s="18" t="n">
        <v>146540.11</v>
      </c>
      <c r="D81" s="19">
        <f>C81/$C$121</f>
        <v/>
      </c>
      <c r="E81" s="20" t="inlineStr">
        <is>
          <t>6624471</t>
        </is>
      </c>
    </row>
    <row r="82">
      <c r="A82" s="41" t="n">
        <v>196322</v>
      </c>
      <c r="B82" s="2" t="inlineStr">
        <is>
          <t>QATAR GAS TRANSPORT CO LTD COMMON STOCK QAR 1</t>
        </is>
      </c>
      <c r="C82" s="33" t="n">
        <v>146177.31</v>
      </c>
      <c r="D82" s="19">
        <f>C82/$C$121</f>
        <v/>
      </c>
      <c r="E82" s="20" t="inlineStr">
        <is>
          <t>B0MLBC9</t>
        </is>
      </c>
    </row>
    <row r="83">
      <c r="A83" s="28" t="n">
        <v>66726</v>
      </c>
      <c r="B83" s="2" t="inlineStr">
        <is>
          <t>ABU DHABI ISLAMIC BANK PJSC COMMON STOCK AED 1</t>
        </is>
      </c>
      <c r="C83" s="18" t="n">
        <v>144225.54</v>
      </c>
      <c r="D83" s="19">
        <f>C83/$C$121</f>
        <v/>
      </c>
      <c r="E83" s="20" t="inlineStr">
        <is>
          <t>6001728</t>
        </is>
      </c>
    </row>
    <row r="84">
      <c r="A84" s="28" t="n">
        <v>5652</v>
      </c>
      <c r="B84" s="2" t="inlineStr">
        <is>
          <t>KOMERCNI BANKA AS COMMON STOCK CZK 100</t>
        </is>
      </c>
      <c r="C84" s="18" t="n">
        <v>143823</v>
      </c>
      <c r="D84" s="19">
        <f>C84/$C$121</f>
        <v/>
      </c>
      <c r="E84" s="20" t="inlineStr">
        <is>
          <t>4519449</t>
        </is>
      </c>
    </row>
    <row r="85">
      <c r="A85" s="28" t="n">
        <v>60427</v>
      </c>
      <c r="B85" s="2" t="inlineStr">
        <is>
          <t>OOREDOO QPSC COMMON STOCK QAR 1</t>
        </is>
      </c>
      <c r="C85" s="18" t="n">
        <v>141122.93</v>
      </c>
      <c r="D85" s="19">
        <f>C85/$C$121</f>
        <v/>
      </c>
      <c r="E85" s="20" t="inlineStr">
        <is>
          <t>6158174</t>
        </is>
      </c>
    </row>
    <row r="86">
      <c r="A86" s="28" t="n">
        <v>105464</v>
      </c>
      <c r="B86" s="2" t="inlineStr">
        <is>
          <t>ALPHA SERVICES AND HOLDINGS SA COMMON STOCK EUR 0.29</t>
        </is>
      </c>
      <c r="C86" s="18" t="n">
        <v>140508.31</v>
      </c>
      <c r="D86" s="19">
        <f>C86/$C$121</f>
        <v/>
      </c>
      <c r="E86" s="20" t="inlineStr">
        <is>
          <t>BZ1MXR7</t>
        </is>
      </c>
    </row>
    <row r="87">
      <c r="A87" s="28" t="n">
        <v>12548</v>
      </c>
      <c r="B87" s="2" t="inlineStr">
        <is>
          <t>HELLENIC TELECOMMUNICATIONS ORGANIZATION SA COMMON STOCK EUR 2.83</t>
        </is>
      </c>
      <c r="C87" s="18" t="n">
        <v>139829.28</v>
      </c>
      <c r="D87" s="19">
        <f>C87/$C$121</f>
        <v/>
      </c>
      <c r="E87" s="20" t="inlineStr">
        <is>
          <t>5051605</t>
        </is>
      </c>
    </row>
    <row r="88">
      <c r="A88" s="28" t="n">
        <v>1902</v>
      </c>
      <c r="B88" s="2" t="inlineStr">
        <is>
          <t>JSC KASPI.KZ GDR-REG S</t>
        </is>
      </c>
      <c r="C88" s="18" t="n">
        <v>136667.08</v>
      </c>
      <c r="D88" s="19">
        <f>C88/$C$121</f>
        <v/>
      </c>
      <c r="E88" s="20" t="inlineStr">
        <is>
          <t>BMXZ8G7</t>
        </is>
      </c>
    </row>
    <row r="89">
      <c r="A89" s="28" t="n">
        <v>71192</v>
      </c>
      <c r="B89" s="2" t="inlineStr">
        <is>
          <t>MMC NORILSK NICKEL PJSC COMMON STOCK RUB 1</t>
        </is>
      </c>
      <c r="C89" s="18" t="n">
        <v>134986.55</v>
      </c>
      <c r="D89" s="19">
        <f>C89/$C$121</f>
        <v/>
      </c>
      <c r="E89" s="20" t="inlineStr">
        <is>
          <t>0H5804S</t>
        </is>
      </c>
    </row>
    <row r="90">
      <c r="A90" s="28" t="n">
        <v>764</v>
      </c>
      <c r="B90" s="2" t="inlineStr">
        <is>
          <t>ELM CO COMMON STOCK SAR 10</t>
        </is>
      </c>
      <c r="C90" s="18" t="n">
        <v>129770.53</v>
      </c>
      <c r="D90" s="19">
        <f>C90/$C$121</f>
        <v/>
      </c>
      <c r="E90" s="20" t="inlineStr">
        <is>
          <t>BNYDSH8</t>
        </is>
      </c>
    </row>
    <row r="91">
      <c r="A91" s="28" t="n">
        <v>3428</v>
      </c>
      <c r="B91" s="2" t="inlineStr">
        <is>
          <t>ALDREES PETROLEUM AND TRANSPORT SERVICES CO COMMON STOCK SAR 10</t>
        </is>
      </c>
      <c r="C91" s="18" t="n">
        <v>126779.71</v>
      </c>
      <c r="D91" s="19">
        <f>C91/$C$121</f>
        <v/>
      </c>
      <c r="E91" s="20" t="inlineStr">
        <is>
          <t>B128FF8</t>
        </is>
      </c>
    </row>
    <row r="92">
      <c r="A92" s="28" t="n">
        <v>187852</v>
      </c>
      <c r="B92" s="2" t="inlineStr">
        <is>
          <t>SALIK CO PJSC COMMON STOCK AED 0.01</t>
        </is>
      </c>
      <c r="C92" s="18" t="n">
        <v>124779.37</v>
      </c>
      <c r="D92" s="19">
        <f>C92/$C$121</f>
        <v/>
      </c>
      <c r="E92" s="20" t="inlineStr">
        <is>
          <t>BJN5952</t>
        </is>
      </c>
    </row>
    <row r="93">
      <c r="A93" s="28" t="n">
        <v>2904</v>
      </c>
      <c r="B93" s="2" t="inlineStr">
        <is>
          <t>LEEJAM SPORTS CO JSC COMMON STOCK SAR 10</t>
        </is>
      </c>
      <c r="C93" s="18" t="n">
        <v>122830</v>
      </c>
      <c r="D93" s="19">
        <f>C93/$C$121</f>
        <v/>
      </c>
      <c r="E93" s="20" t="inlineStr">
        <is>
          <t>BF12ZV5</t>
        </is>
      </c>
    </row>
    <row r="94">
      <c r="A94" s="28" t="n">
        <v>33462</v>
      </c>
      <c r="B94" s="2" t="inlineStr">
        <is>
          <t>AVI LTD COMMON STOCK ZAR 5</t>
        </is>
      </c>
      <c r="C94" s="18" t="n">
        <v>117683.72</v>
      </c>
      <c r="D94" s="19">
        <f>C94/$C$121</f>
        <v/>
      </c>
      <c r="E94" s="20" t="inlineStr">
        <is>
          <t>6040958</t>
        </is>
      </c>
    </row>
    <row r="95">
      <c r="A95" s="28" t="n">
        <v>13053</v>
      </c>
      <c r="B95" s="2" t="inlineStr">
        <is>
          <t>HUMANSOFT HOLDING CO KSC COMMON STOCK KWD 100</t>
        </is>
      </c>
      <c r="C95" s="18" t="n">
        <v>113239.96</v>
      </c>
      <c r="D95" s="19">
        <f>C95/$C$121</f>
        <v/>
      </c>
      <c r="E95" s="20" t="inlineStr">
        <is>
          <t>B13BYX7</t>
        </is>
      </c>
    </row>
    <row r="96">
      <c r="A96" s="28" t="n">
        <v>2526</v>
      </c>
      <c r="B96" s="2" t="inlineStr">
        <is>
          <t>BUPA ARABIA FOR COOPERATIVE INSURANCE CO COMMON STOCK SAR 10</t>
        </is>
      </c>
      <c r="C96" s="18" t="n">
        <v>112020.08</v>
      </c>
      <c r="D96" s="19">
        <f>C96/$C$121</f>
        <v/>
      </c>
      <c r="E96" s="20" t="inlineStr">
        <is>
          <t>B2RLCR0</t>
        </is>
      </c>
    </row>
    <row r="97">
      <c r="A97" s="28" t="n">
        <v>498960</v>
      </c>
      <c r="B97" s="2" t="inlineStr">
        <is>
          <t>AL ANSARI FINANCIAL SERVICES PJSC COMMON STOCK AED</t>
        </is>
      </c>
      <c r="C97" s="18" t="n">
        <v>111897.81</v>
      </c>
      <c r="D97" s="19">
        <f>C97/$C$121</f>
        <v/>
      </c>
      <c r="E97" s="20" t="inlineStr">
        <is>
          <t>BMWB101</t>
        </is>
      </c>
    </row>
    <row r="98">
      <c r="A98" s="28" t="n">
        <v>133931</v>
      </c>
      <c r="B98" s="2" t="inlineStr">
        <is>
          <t>ADNOC LOGISTICS &amp; SERVICES COMMON STOCK AED</t>
        </is>
      </c>
      <c r="C98" s="18" t="n">
        <v>108700.44</v>
      </c>
      <c r="D98" s="19">
        <f>C98/$C$121</f>
        <v/>
      </c>
      <c r="E98" s="20" t="inlineStr">
        <is>
          <t>BRBN103</t>
        </is>
      </c>
    </row>
    <row r="99">
      <c r="A99" s="28" t="n">
        <v>24782</v>
      </c>
      <c r="B99" s="2" t="inlineStr">
        <is>
          <t>ARABIAN CENTRES CO LTD COMMON STOCK SAR 10</t>
        </is>
      </c>
      <c r="C99" s="18" t="n">
        <v>106478.88</v>
      </c>
      <c r="D99" s="19">
        <f>C99/$C$121</f>
        <v/>
      </c>
      <c r="E99" s="20" t="inlineStr">
        <is>
          <t>BKBF694</t>
        </is>
      </c>
    </row>
    <row r="100">
      <c r="A100" s="28" t="n">
        <v>2041744</v>
      </c>
      <c r="B100" s="2" t="inlineStr">
        <is>
          <t>ROSNEFT OIL CO PJSC COMMON STOCK RUB 0.01</t>
        </is>
      </c>
      <c r="C100" s="18" t="n">
        <v>59618.54</v>
      </c>
      <c r="D100" s="19">
        <f>C100/$C$121</f>
        <v/>
      </c>
      <c r="E100" s="20" t="inlineStr">
        <is>
          <t>0H5827S</t>
        </is>
      </c>
    </row>
    <row r="101">
      <c r="A101" s="28" t="n">
        <v>1677948</v>
      </c>
      <c r="B101" s="2" t="inlineStr">
        <is>
          <t>ROSNEFT OIL CO PJSC COMMON STOCK RUB</t>
        </is>
      </c>
      <c r="C101" s="18" t="n">
        <v>45347.11</v>
      </c>
      <c r="D101" s="19">
        <f>C101/$C$121</f>
        <v/>
      </c>
      <c r="E101" s="20" t="inlineStr">
        <is>
          <t>2H7674S</t>
        </is>
      </c>
    </row>
    <row r="102">
      <c r="A102" s="28" t="n"/>
      <c r="B102" s="27" t="inlineStr">
        <is>
          <t>Subtotal</t>
        </is>
      </c>
      <c r="C102" s="29">
        <f>+C101+C100</f>
        <v/>
      </c>
      <c r="D102" s="31">
        <f>C102/$C$124</f>
        <v/>
      </c>
      <c r="E102" s="20" t="n"/>
    </row>
    <row r="103">
      <c r="A103" s="28" t="n">
        <v>20379</v>
      </c>
      <c r="B103" s="2" t="inlineStr">
        <is>
          <t>MOTUS HOLDINGS LTD COMMON STOCK ZAR</t>
        </is>
      </c>
      <c r="C103" s="18" t="n">
        <v>88726.33</v>
      </c>
      <c r="D103" s="19">
        <f>C103/$C$121</f>
        <v/>
      </c>
      <c r="E103" s="20" t="inlineStr">
        <is>
          <t>BDRN3H0</t>
        </is>
      </c>
    </row>
    <row r="104">
      <c r="A104" s="28" t="n">
        <v>3657350</v>
      </c>
      <c r="B104" s="2" t="inlineStr">
        <is>
          <t>NOVOLIPETSK STEEL PJSC COMMON STOCK RUB</t>
        </is>
      </c>
      <c r="C104" s="18" t="n">
        <v>60171.14</v>
      </c>
      <c r="D104" s="19">
        <f>C104/$C$121</f>
        <v/>
      </c>
      <c r="E104" s="20" t="inlineStr">
        <is>
          <t>2H7675S</t>
        </is>
      </c>
    </row>
    <row r="105">
      <c r="A105" s="28" t="n">
        <v>180877</v>
      </c>
      <c r="B105" s="2" t="inlineStr">
        <is>
          <t>MAGNIT PJSC COMMON STOCK RUB 0.01</t>
        </is>
      </c>
      <c r="C105" s="18" t="n">
        <v>53158.7</v>
      </c>
      <c r="D105" s="19">
        <f>C105/$C$121</f>
        <v/>
      </c>
      <c r="E105" s="20" t="inlineStr">
        <is>
          <t>0H5813S</t>
        </is>
      </c>
    </row>
    <row r="106">
      <c r="A106" s="28" t="n">
        <v>1265335</v>
      </c>
      <c r="B106" s="2" t="inlineStr">
        <is>
          <t>GAZPROM NEFT PJSC COMMON STOCK RUB</t>
        </is>
      </c>
      <c r="C106" s="18" t="n">
        <v>48037.81</v>
      </c>
      <c r="D106" s="19">
        <f>C106/$C$121</f>
        <v/>
      </c>
      <c r="E106" s="20" t="inlineStr">
        <is>
          <t>0H5803S</t>
        </is>
      </c>
    </row>
    <row r="107">
      <c r="A107" s="28" t="n">
        <v>730066</v>
      </c>
      <c r="B107" s="2" t="inlineStr">
        <is>
          <t>TATNEFT PJSC COMMON STOCK RUB</t>
        </is>
      </c>
      <c r="C107" s="18" t="n">
        <v>25979.65</v>
      </c>
      <c r="D107" s="19">
        <f>C107/$C$121</f>
        <v/>
      </c>
      <c r="E107" s="20" t="inlineStr">
        <is>
          <t>0H5822S</t>
        </is>
      </c>
    </row>
    <row r="108">
      <c r="A108" s="28" t="n">
        <v>571359</v>
      </c>
      <c r="B108" s="2" t="inlineStr">
        <is>
          <t>TATNEFT PJSC PREFERENCE RUB 1</t>
        </is>
      </c>
      <c r="C108" s="18" t="n">
        <v>18005.43</v>
      </c>
      <c r="D108" s="19">
        <f>C108/$C$121</f>
        <v/>
      </c>
      <c r="E108" s="20" t="inlineStr">
        <is>
          <t>0H5816S</t>
        </is>
      </c>
    </row>
    <row r="109">
      <c r="A109" s="28" t="n"/>
      <c r="B109" s="27" t="inlineStr">
        <is>
          <t>Subtotal</t>
        </is>
      </c>
      <c r="C109" s="29">
        <f>+C108+C107</f>
        <v/>
      </c>
      <c r="D109" s="31">
        <f>C109/$C$124</f>
        <v/>
      </c>
      <c r="E109" s="20" t="n"/>
    </row>
    <row r="110">
      <c r="A110" s="28" t="n">
        <v>6156103</v>
      </c>
      <c r="B110" s="2" t="inlineStr">
        <is>
          <t>ROSTELECOM PJSC COMMON STOCK RUB</t>
        </is>
      </c>
      <c r="C110" s="18" t="n">
        <v>41437.5</v>
      </c>
      <c r="D110" s="19">
        <f>C110/$C$121</f>
        <v/>
      </c>
      <c r="E110" s="20" t="inlineStr">
        <is>
          <t>0H5802S</t>
        </is>
      </c>
    </row>
    <row r="111">
      <c r="A111" s="41" t="n">
        <v>21233273216</v>
      </c>
      <c r="B111" s="2" t="inlineStr">
        <is>
          <t>VTB BANK PJSC COMMON STOCK RUB 0.01</t>
        </is>
      </c>
      <c r="C111" s="33" t="n">
        <v>39641.66</v>
      </c>
      <c r="D111" s="19">
        <f>C111/$C$121</f>
        <v/>
      </c>
      <c r="E111" s="20" t="inlineStr">
        <is>
          <t>0H5837S</t>
        </is>
      </c>
    </row>
    <row r="112">
      <c r="A112" s="28" t="n">
        <v>29773</v>
      </c>
      <c r="B112" s="2" t="inlineStr">
        <is>
          <t>POLYUS PJSC COMMON STOCK RUB</t>
        </is>
      </c>
      <c r="C112" s="18" t="n">
        <v>29060.56</v>
      </c>
      <c r="D112" s="19">
        <f>C112/$C$121</f>
        <v/>
      </c>
      <c r="E112" s="20" t="inlineStr">
        <is>
          <t>2H7182S</t>
        </is>
      </c>
    </row>
    <row r="113">
      <c r="A113" s="28" t="n">
        <v>169819</v>
      </c>
      <c r="B113" s="2" t="inlineStr">
        <is>
          <t>YANDEX NV COMMON STOCK USD 0.01</t>
        </is>
      </c>
      <c r="C113" s="18" t="n">
        <v>25230.4</v>
      </c>
      <c r="D113" s="19">
        <f>C113/$C$121</f>
        <v/>
      </c>
      <c r="E113" s="20" t="inlineStr">
        <is>
          <t>0H6379S</t>
        </is>
      </c>
    </row>
    <row r="114">
      <c r="A114" s="28" t="n">
        <v>432517</v>
      </c>
      <c r="B114" s="2" t="inlineStr">
        <is>
          <t>MD MEDICAL GROUP INVESTMENTS PLC GDR USD</t>
        </is>
      </c>
      <c r="C114" s="18" t="n">
        <v>19339.09</v>
      </c>
      <c r="D114" s="19">
        <f>C114/$C$121</f>
        <v/>
      </c>
      <c r="E114" s="20" t="inlineStr">
        <is>
          <t>0H6371S</t>
        </is>
      </c>
    </row>
    <row r="115">
      <c r="A115" s="28" t="n">
        <v>12313057</v>
      </c>
      <c r="B115" s="2" t="inlineStr">
        <is>
          <t>SISTEMA PJSFC COMMON STOCK RUB 0.09</t>
        </is>
      </c>
      <c r="C115" s="18" t="n">
        <v>14535.64</v>
      </c>
      <c r="D115" s="19">
        <f>C115/$C$121</f>
        <v/>
      </c>
      <c r="E115" s="20" t="inlineStr">
        <is>
          <t>0H5808S</t>
        </is>
      </c>
    </row>
    <row r="116">
      <c r="A116" s="28" t="n">
        <v>577525</v>
      </c>
      <c r="B116" s="2" t="inlineStr">
        <is>
          <t>FIX PRICE GROUP LTD GDR</t>
        </is>
      </c>
      <c r="C116" s="18" t="n">
        <v>4258.5</v>
      </c>
      <c r="D116" s="19">
        <f>C116/$C$121</f>
        <v/>
      </c>
      <c r="E116" s="20" t="inlineStr">
        <is>
          <t>0H6372S</t>
        </is>
      </c>
    </row>
    <row r="117">
      <c r="A117" s="28" t="n">
        <v>75226</v>
      </c>
      <c r="B117" s="2" t="inlineStr">
        <is>
          <t>TCS GROUP HOLDING PLC GDR</t>
        </is>
      </c>
      <c r="C117" s="18" t="n">
        <v>1884.19</v>
      </c>
      <c r="D117" s="19">
        <f>C117/$C$121</f>
        <v/>
      </c>
      <c r="E117" s="20" t="inlineStr">
        <is>
          <t>0H6380S</t>
        </is>
      </c>
    </row>
    <row r="118">
      <c r="A118" s="28" t="n">
        <v>275182</v>
      </c>
      <c r="B118" s="2" t="inlineStr">
        <is>
          <t>X 5 RETAIL GROUP NV-REGS GDR</t>
        </is>
      </c>
      <c r="C118" s="18" t="n">
        <v>1147.1</v>
      </c>
      <c r="D118" s="19">
        <f>C118/$C$121</f>
        <v/>
      </c>
      <c r="E118" s="20" t="inlineStr">
        <is>
          <t>0H6365S</t>
        </is>
      </c>
    </row>
    <row r="119">
      <c r="A119" s="28" t="n">
        <v>552780</v>
      </c>
      <c r="B119" s="2" t="inlineStr">
        <is>
          <t>SEVERSTAL PAO GDR USD</t>
        </is>
      </c>
      <c r="C119" s="18" t="n">
        <v>260.61</v>
      </c>
      <c r="D119" s="19">
        <f>C119/$C$121</f>
        <v/>
      </c>
      <c r="E119" s="20" t="inlineStr">
        <is>
          <t>0H6368S</t>
        </is>
      </c>
    </row>
    <row r="120">
      <c r="A120" s="28" t="n"/>
      <c r="B120" s="2" t="n"/>
      <c r="C120" s="18" t="n"/>
      <c r="D120" s="19" t="n"/>
      <c r="E120" s="20" t="n"/>
    </row>
    <row r="121">
      <c r="A121" s="28" t="n"/>
      <c r="B121" s="21" t="inlineStr">
        <is>
          <t>Total portfolio</t>
        </is>
      </c>
      <c r="C121" s="39">
        <f>SUM(C12:C28)+SUM(C30:C39)+SUM(C41:C46)+SUM(C48:C76)+SUM(C78:C101)+SUM(C103:C108)+SUM(C110:C119)</f>
        <v/>
      </c>
      <c r="D121" s="19">
        <f>C121/$C$124</f>
        <v/>
      </c>
      <c r="E121" s="20" t="n"/>
    </row>
    <row r="122">
      <c r="A122" s="28" t="n"/>
      <c r="B122" s="21" t="inlineStr">
        <is>
          <t>Net Current Assets</t>
        </is>
      </c>
      <c r="C122" s="39" t="n">
        <v>307150.7199999997</v>
      </c>
      <c r="D122" s="19">
        <f>C122/$C$124</f>
        <v/>
      </c>
      <c r="E122" s="20" t="n"/>
    </row>
    <row r="123">
      <c r="A123" s="28" t="n"/>
      <c r="B123" s="21" t="n"/>
      <c r="C123" s="39" t="n"/>
      <c r="D123" s="32" t="n"/>
      <c r="E123" s="20" t="n"/>
    </row>
    <row r="124">
      <c r="A124" s="17" t="n"/>
      <c r="B124" s="21" t="inlineStr">
        <is>
          <t>Total Assets</t>
        </is>
      </c>
      <c r="C124" s="22">
        <f>C121+C122</f>
        <v/>
      </c>
      <c r="D124" s="19">
        <f>C124/$C$124</f>
        <v/>
      </c>
      <c r="E124" s="3" t="n"/>
    </row>
    <row r="125">
      <c r="A12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6"/>
    <row r="127"/>
    <row r="128"/>
  </sheetData>
  <mergeCells count="2">
    <mergeCell ref="A3:E6"/>
    <mergeCell ref="A125:E128"/>
  </mergeCells>
  <conditionalFormatting sqref="B13:B120">
    <cfRule type="containsText" priority="1" operator="containsText" dxfId="0" text="LIQUIDITY">
      <formula>NOT(ISERROR(SEARCH("LIQUIDITY",B13)))</formula>
    </cfRule>
  </conditionalFormatting>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E128"/>
  <sheetViews>
    <sheetView workbookViewId="0">
      <selection activeCell="B12" sqref="B12"/>
    </sheetView>
  </sheetViews>
  <sheetFormatPr baseColWidth="8" defaultRowHeight="12.75"/>
  <cols>
    <col width="15.140625" bestFit="1" customWidth="1" style="17" min="1" max="1"/>
    <col width="56.5703125" customWidth="1" style="2" min="2" max="2"/>
    <col width="17.140625" customWidth="1" style="3" min="3" max="3"/>
    <col width="9.140625" customWidth="1" style="3" min="4" max="4"/>
    <col width="10.28515625" customWidth="1" style="3" min="5" max="5"/>
    <col width="12.28515625" bestFit="1" customWidth="1" style="42" min="8" max="8"/>
  </cols>
  <sheetData>
    <row r="1">
      <c r="A1" s="1" t="inlineStr">
        <is>
          <t>JPMorgan Emerging Europe, Middle East and Africa Securities plc</t>
        </is>
      </c>
    </row>
    <row r="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row>
    <row r="8">
      <c r="A8" s="4" t="inlineStr">
        <is>
          <t>Full portfolio listing as at close of business 30th November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ht="11.25" customFormat="1" customHeight="1" s="3">
      <c r="A12" s="17" t="n">
        <v>1000786.64</v>
      </c>
      <c r="B12" s="45" t="inlineStr">
        <is>
          <t>JPM GBP LIQUIDITY LVNAV X (DIST.)</t>
        </is>
      </c>
      <c r="C12" s="18" t="n">
        <v>1000786.64</v>
      </c>
      <c r="D12" s="19">
        <f>C12/$C$119</f>
        <v/>
      </c>
      <c r="E12" s="20" t="inlineStr">
        <is>
          <t>5819115</t>
        </is>
      </c>
    </row>
    <row r="13">
      <c r="A13" s="28" t="n">
        <v>52402</v>
      </c>
      <c r="B13" s="2" t="inlineStr">
        <is>
          <t>AL RAJHI BANK COMMON STOCK SAR 10</t>
        </is>
      </c>
      <c r="C13" s="18" t="n">
        <v>842984.75</v>
      </c>
      <c r="D13" s="19">
        <f>C13/$C$119</f>
        <v/>
      </c>
      <c r="E13" s="38" t="inlineStr">
        <is>
          <t>B12LZH9</t>
        </is>
      </c>
    </row>
    <row r="14">
      <c r="A14" s="28" t="n">
        <v>95550</v>
      </c>
      <c r="B14" s="2" t="inlineStr">
        <is>
          <t>SAUDI ARABIAN OIL CO COMMON STOCK SAR</t>
        </is>
      </c>
      <c r="C14" s="18" t="n">
        <v>667955.1</v>
      </c>
      <c r="D14" s="19">
        <f>C14/$C$119</f>
        <v/>
      </c>
      <c r="E14" s="20" t="inlineStr">
        <is>
          <t>BJTM270</t>
        </is>
      </c>
    </row>
    <row r="15">
      <c r="A15" s="41" t="n">
        <v>4185</v>
      </c>
      <c r="B15" s="2" t="inlineStr">
        <is>
          <t>NASPERS LTD COMMON STOCK ZAR 2</t>
        </is>
      </c>
      <c r="C15" s="33" t="n">
        <v>605959.01</v>
      </c>
      <c r="D15" s="19">
        <f>C15/$C$119</f>
        <v/>
      </c>
      <c r="E15" s="20" t="inlineStr">
        <is>
          <t>BN0VX82</t>
        </is>
      </c>
    </row>
    <row r="16">
      <c r="A16" s="28" t="n">
        <v>81271</v>
      </c>
      <c r="B16" s="2" t="inlineStr">
        <is>
          <t>THE SAUDI NATIONAL BANK</t>
        </is>
      </c>
      <c r="C16" s="18" t="n">
        <v>590382.12</v>
      </c>
      <c r="D16" s="19">
        <f>C16/$C$119</f>
        <v/>
      </c>
      <c r="E16" s="38" t="inlineStr">
        <is>
          <t>BSHYYN1</t>
        </is>
      </c>
    </row>
    <row r="17">
      <c r="A17" s="28" t="n">
        <v>164763</v>
      </c>
      <c r="B17" s="2" t="inlineStr">
        <is>
          <t>FIRSTRAND LTD COMMON STOCK ZAR 1</t>
        </is>
      </c>
      <c r="C17" s="18" t="n">
        <v>462907.07</v>
      </c>
      <c r="D17" s="19">
        <f>C17/$C$119</f>
        <v/>
      </c>
      <c r="E17" s="38" t="inlineStr">
        <is>
          <t>6606996</t>
        </is>
      </c>
    </row>
    <row r="18">
      <c r="A18" s="41" t="n">
        <v>131277</v>
      </c>
      <c r="B18" s="2" t="inlineStr">
        <is>
          <t>QATAR NATIONAL BANK QPSC COMMON STOCK QAR 1</t>
        </is>
      </c>
      <c r="C18" s="33" t="n">
        <v>444869.3</v>
      </c>
      <c r="D18" s="19">
        <f>C18/$C$119</f>
        <v/>
      </c>
      <c r="E18" s="20" t="inlineStr">
        <is>
          <t>6148197</t>
        </is>
      </c>
    </row>
    <row r="19">
      <c r="A19" s="28" t="n">
        <v>52618</v>
      </c>
      <c r="B19" s="2" t="inlineStr">
        <is>
          <t>SAUDI TELECOM CO COMMON STOCK</t>
        </is>
      </c>
      <c r="C19" s="18" t="n">
        <v>425445.62</v>
      </c>
      <c r="D19" s="19">
        <f>C19/$C$119</f>
        <v/>
      </c>
      <c r="E19" s="20" t="inlineStr">
        <is>
          <t>B12M7Q5</t>
        </is>
      </c>
    </row>
    <row r="20">
      <c r="A20" s="28" t="n">
        <v>47354</v>
      </c>
      <c r="B20" s="2" t="inlineStr">
        <is>
          <t>STANDARD BANK GROUP LTD COMMON STOCK ZAR 10</t>
        </is>
      </c>
      <c r="C20" s="18" t="n">
        <v>395180.02</v>
      </c>
      <c r="D20" s="19">
        <f>C20/$C$119</f>
        <v/>
      </c>
      <c r="E20" s="20" t="inlineStr">
        <is>
          <t>B030GJ7</t>
        </is>
      </c>
    </row>
    <row r="21">
      <c r="A21" s="28" t="n">
        <v>31177</v>
      </c>
      <c r="B21" s="2" t="inlineStr">
        <is>
          <t>GOLD FIELDS LTD COMMON STOCK ZAR 50</t>
        </is>
      </c>
      <c r="C21" s="18" t="n">
        <v>369943.16</v>
      </c>
      <c r="D21" s="19">
        <f>C21/$C$119</f>
        <v/>
      </c>
      <c r="E21" s="20" t="inlineStr">
        <is>
          <t>6280215</t>
        </is>
      </c>
    </row>
    <row r="22">
      <c r="A22" s="28" t="n">
        <v>43770</v>
      </c>
      <c r="B22" s="2" t="inlineStr">
        <is>
          <t>ALINMA BANK COMMON STOCK SAR 10</t>
        </is>
      </c>
      <c r="C22" s="18" t="n">
        <v>329942.35</v>
      </c>
      <c r="D22" s="19">
        <f>C22/$C$119</f>
        <v/>
      </c>
      <c r="E22" s="20" t="inlineStr">
        <is>
          <t>B39NWT3</t>
        </is>
      </c>
    </row>
    <row r="23">
      <c r="A23" s="28" t="n">
        <v>200673</v>
      </c>
      <c r="B23" s="2" t="inlineStr">
        <is>
          <t>EMAAR PROPERTIES PJSC COMMON STOCK AED 1</t>
        </is>
      </c>
      <c r="C23" s="18" t="n">
        <v>326765.37</v>
      </c>
      <c r="D23" s="19">
        <f>C23/$C$119</f>
        <v/>
      </c>
      <c r="E23" s="20" t="inlineStr">
        <is>
          <t>B01RM25</t>
        </is>
      </c>
    </row>
    <row r="24">
      <c r="A24" s="28" t="n">
        <v>30074</v>
      </c>
      <c r="B24" s="2" t="inlineStr">
        <is>
          <t>SHOPRITE HOLDINGS LTD COMMON STOCK ZAR 113.4</t>
        </is>
      </c>
      <c r="C24" s="18" t="n">
        <v>322292.81</v>
      </c>
      <c r="D24" s="19">
        <f>C24/$C$119</f>
        <v/>
      </c>
      <c r="E24" s="20" t="inlineStr">
        <is>
          <t>6801575</t>
        </is>
      </c>
    </row>
    <row r="25">
      <c r="A25" s="28" t="n">
        <v>74251</v>
      </c>
      <c r="B25" s="2" t="inlineStr">
        <is>
          <t>MTN GROUP LTD COMMON STOCK ZAR 0.01</t>
        </is>
      </c>
      <c r="C25" s="18" t="n">
        <v>318115.74</v>
      </c>
      <c r="D25" s="19">
        <f>C25/$C$119</f>
        <v/>
      </c>
      <c r="E25" s="20" t="inlineStr">
        <is>
          <t>6563206</t>
        </is>
      </c>
    </row>
    <row r="26">
      <c r="A26" s="28" t="n">
        <v>81600</v>
      </c>
      <c r="B26" s="2" t="inlineStr">
        <is>
          <t>EMIRATES NBD BANK PJSC COMMON STOCK AED 1</t>
        </is>
      </c>
      <c r="C26" s="18" t="n">
        <v>308048.07</v>
      </c>
      <c r="D26" s="19">
        <f>C26/$C$119</f>
        <v/>
      </c>
      <c r="E26" s="20" t="inlineStr">
        <is>
          <t>B28PFX8</t>
        </is>
      </c>
    </row>
    <row r="27">
      <c r="A27" s="28" t="n">
        <v>362649</v>
      </c>
      <c r="B27" s="2" t="inlineStr">
        <is>
          <t>LUKOIL PJSC COMMON STOCK RUB 0.025 RUB</t>
        </is>
      </c>
      <c r="C27" s="18" t="n">
        <v>164672.82</v>
      </c>
      <c r="D27" s="19">
        <f>C27/$C$119</f>
        <v/>
      </c>
      <c r="E27" s="20" t="inlineStr">
        <is>
          <t>2H6442S</t>
        </is>
      </c>
    </row>
    <row r="28" s="42">
      <c r="A28" s="28" t="n">
        <v>262047</v>
      </c>
      <c r="B28" s="2" t="inlineStr">
        <is>
          <t>LUKOIL PJSC COMMON STOCK RUB</t>
        </is>
      </c>
      <c r="C28" s="18" t="n">
        <v>129081.21</v>
      </c>
      <c r="D28" s="19">
        <f>C28/$C$119</f>
        <v/>
      </c>
      <c r="E28" s="20" t="inlineStr">
        <is>
          <t>0H5797S</t>
        </is>
      </c>
    </row>
    <row r="29" s="42">
      <c r="A29" s="28" t="n"/>
      <c r="B29" s="27" t="inlineStr">
        <is>
          <t>Subtotal</t>
        </is>
      </c>
      <c r="C29" s="29">
        <f>+C28+C27</f>
        <v/>
      </c>
      <c r="D29" s="31">
        <f>C29/$C$122</f>
        <v/>
      </c>
      <c r="E29" s="20" t="n"/>
    </row>
    <row r="30" s="42">
      <c r="A30" s="41" t="n">
        <v>16358</v>
      </c>
      <c r="B30" s="2" t="inlineStr">
        <is>
          <t>BID CORP LTD COMMON STOCK ZAR</t>
        </is>
      </c>
      <c r="C30" s="33" t="n">
        <v>281764.17</v>
      </c>
      <c r="D30" s="19">
        <f>C30/$C$119</f>
        <v/>
      </c>
      <c r="E30" s="20" t="inlineStr">
        <is>
          <t>BZBFKT7</t>
        </is>
      </c>
    </row>
    <row r="31" s="42">
      <c r="A31" s="28" t="n">
        <v>24260</v>
      </c>
      <c r="B31" s="2" t="inlineStr">
        <is>
          <t>HALYK SAVINGS BANK OF KAZAKHSTAN JSC GDR USD</t>
        </is>
      </c>
      <c r="C31" s="18" t="n">
        <v>277870.37</v>
      </c>
      <c r="D31" s="19">
        <f>C31/$C$119</f>
        <v/>
      </c>
      <c r="E31" s="20" t="inlineStr">
        <is>
          <t>B1KDG41</t>
        </is>
      </c>
    </row>
    <row r="32" s="42">
      <c r="A32" s="28" t="n">
        <v>95185</v>
      </c>
      <c r="B32" s="2" t="inlineStr">
        <is>
          <t>SANLAM LTD COMMON STOCK ZAR 1</t>
        </is>
      </c>
      <c r="C32" s="18" t="n">
        <v>269409.26</v>
      </c>
      <c r="D32" s="19">
        <f>C32/$C$119</f>
        <v/>
      </c>
      <c r="E32" s="20" t="inlineStr">
        <is>
          <t>B0L6750</t>
        </is>
      </c>
    </row>
    <row r="33" s="42">
      <c r="A33" s="41" t="n">
        <v>7889</v>
      </c>
      <c r="B33" s="2" t="inlineStr">
        <is>
          <t>OTP BANK NYRT COMMON STOCK HUF 100</t>
        </is>
      </c>
      <c r="C33" s="18" t="n">
        <v>258004.79</v>
      </c>
      <c r="D33" s="19">
        <f>C33/$C$119</f>
        <v/>
      </c>
      <c r="E33" s="20" t="inlineStr">
        <is>
          <t>7320154</t>
        </is>
      </c>
    </row>
    <row r="34" s="42">
      <c r="A34" s="28" t="n">
        <v>35367</v>
      </c>
      <c r="B34" s="2" t="inlineStr">
        <is>
          <t>ABSA GROUP LTD</t>
        </is>
      </c>
      <c r="C34" s="18" t="n">
        <v>256166.46</v>
      </c>
      <c r="D34" s="19">
        <f>C34/$C$119</f>
        <v/>
      </c>
      <c r="E34" s="38" t="inlineStr">
        <is>
          <t>BFX05H3</t>
        </is>
      </c>
    </row>
    <row r="35" s="42">
      <c r="A35" s="28" t="n">
        <v>11953</v>
      </c>
      <c r="B35" s="2" t="inlineStr">
        <is>
          <t>JUMBO SA COMMON STOCK EUR 0.88</t>
        </is>
      </c>
      <c r="C35" s="18" t="n">
        <v>247249.92</v>
      </c>
      <c r="D35" s="19">
        <f>C35/$C$119</f>
        <v/>
      </c>
      <c r="E35" s="38" t="inlineStr">
        <is>
          <t>7243530</t>
        </is>
      </c>
    </row>
    <row r="36" s="42">
      <c r="A36" s="28" t="n">
        <v>11566</v>
      </c>
      <c r="B36" s="2" t="inlineStr">
        <is>
          <t>MOTOR OIL HELLAS CORINTH REFINERIES SA COMMON STOCK EUR 0.75</t>
        </is>
      </c>
      <c r="C36" s="18" t="n">
        <v>246621.47</v>
      </c>
      <c r="D36" s="19">
        <f>C36/$C$119</f>
        <v/>
      </c>
      <c r="E36" s="38" t="inlineStr">
        <is>
          <t>5996234</t>
        </is>
      </c>
    </row>
    <row r="37" s="42">
      <c r="A37" s="28" t="n">
        <v>8860909</v>
      </c>
      <c r="B37" s="2" t="inlineStr">
        <is>
          <t>GAZPROM PJSC COMMON STOCK RUB</t>
        </is>
      </c>
      <c r="C37" s="18" t="n">
        <v>201574.75</v>
      </c>
      <c r="D37" s="19">
        <f>C37/$C$119</f>
        <v/>
      </c>
      <c r="E37" s="38" t="inlineStr">
        <is>
          <t>0H5796S</t>
        </is>
      </c>
    </row>
    <row r="38" s="42">
      <c r="A38" s="28" t="n">
        <v>5365084</v>
      </c>
      <c r="B38" s="2" t="inlineStr">
        <is>
          <t>GAZPROM PJSC ADR</t>
        </is>
      </c>
      <c r="C38" s="18" t="n">
        <v>24639.68</v>
      </c>
      <c r="D38" s="19">
        <f>C38/$C$119</f>
        <v/>
      </c>
      <c r="E38" s="38" t="inlineStr">
        <is>
          <t>0H6364S</t>
        </is>
      </c>
    </row>
    <row r="39" s="42">
      <c r="A39" s="28" t="n"/>
      <c r="B39" s="27" t="inlineStr">
        <is>
          <t>Subtotal</t>
        </is>
      </c>
      <c r="C39" s="29">
        <f>+C38+C37</f>
        <v/>
      </c>
      <c r="D39" s="31">
        <f>C39/$C$122</f>
        <v/>
      </c>
      <c r="E39" s="38" t="n"/>
    </row>
    <row r="40" s="42">
      <c r="A40" s="28" t="n">
        <v>123763</v>
      </c>
      <c r="B40" s="2" t="inlineStr">
        <is>
          <t>ABU DHABI COMMERCIAL BANK PJSC COMMON STOCK AED 1</t>
        </is>
      </c>
      <c r="C40" s="18" t="n">
        <v>223359.28</v>
      </c>
      <c r="D40" s="19">
        <f>C40/$C$119</f>
        <v/>
      </c>
      <c r="E40" s="20" t="inlineStr">
        <is>
          <t>6545464</t>
        </is>
      </c>
    </row>
    <row r="41" s="42">
      <c r="A41" s="41" t="n">
        <v>11178</v>
      </c>
      <c r="B41" s="2" t="inlineStr">
        <is>
          <t>RICHTER GEDEON NYRT COMMON STOCK HUF 100</t>
        </is>
      </c>
      <c r="C41" s="33" t="n">
        <v>220959.69</v>
      </c>
      <c r="D41" s="19">
        <f>C41/$C$119</f>
        <v/>
      </c>
      <c r="E41" s="20" t="inlineStr">
        <is>
          <t>BC9ZH86</t>
        </is>
      </c>
    </row>
    <row r="42" s="42">
      <c r="A42" s="41" t="n">
        <v>40671</v>
      </c>
      <c r="B42" s="2" t="inlineStr">
        <is>
          <t>NATIONAL BANK OF GREECE SA COMMON STOCK EUR 1</t>
        </is>
      </c>
      <c r="C42" s="18" t="n">
        <v>219435.65</v>
      </c>
      <c r="D42" s="19">
        <f>C42/$C$119</f>
        <v/>
      </c>
      <c r="E42" s="20" t="inlineStr">
        <is>
          <t>BG087C6</t>
        </is>
      </c>
    </row>
    <row r="43" s="42">
      <c r="A43" s="41" t="n">
        <v>38596</v>
      </c>
      <c r="B43" s="2" t="inlineStr">
        <is>
          <t>RIYAD BANK COMMON STOCK SAR 10</t>
        </is>
      </c>
      <c r="C43" s="18" t="n">
        <v>216986.17</v>
      </c>
      <c r="D43" s="19">
        <f>C43/$C$119</f>
        <v/>
      </c>
      <c r="E43" s="20" t="inlineStr">
        <is>
          <t>B12LZW4</t>
        </is>
      </c>
    </row>
    <row r="44" s="42">
      <c r="A44" s="41" t="n">
        <v>172191</v>
      </c>
      <c r="B44" s="2" t="inlineStr">
        <is>
          <t>ALDAR PROPERTIES PJSC COMMON STOCK AED 1</t>
        </is>
      </c>
      <c r="C44" s="18" t="n">
        <v>210753.08</v>
      </c>
      <c r="D44" s="19">
        <f>C44/$C$119</f>
        <v/>
      </c>
      <c r="E44" s="20" t="inlineStr">
        <is>
          <t>B0LX3Y2</t>
        </is>
      </c>
    </row>
    <row r="45" s="42">
      <c r="A45" s="41" t="n">
        <v>14455036</v>
      </c>
      <c r="B45" s="2" t="inlineStr">
        <is>
          <t>SBERBANK OF RUSSIA PJSC PREFERENCE RUB 3</t>
        </is>
      </c>
      <c r="C45" s="18" t="n">
        <v>181398.91</v>
      </c>
      <c r="D45" s="19">
        <f>C45/$C$119</f>
        <v/>
      </c>
      <c r="E45" s="20" t="inlineStr">
        <is>
          <t>0H5856S</t>
        </is>
      </c>
    </row>
    <row r="46" s="42">
      <c r="A46" s="41" t="n">
        <v>2355925</v>
      </c>
      <c r="B46" s="2" t="inlineStr">
        <is>
          <t>SBERBANK OF RUSSIA PJSC</t>
        </is>
      </c>
      <c r="C46" s="18" t="n">
        <v>29351.26</v>
      </c>
      <c r="D46" s="19">
        <f>C46/$C$119</f>
        <v/>
      </c>
      <c r="E46" s="20" t="inlineStr">
        <is>
          <t>0H5855S</t>
        </is>
      </c>
    </row>
    <row r="47" s="42">
      <c r="A47" s="41" t="n"/>
      <c r="B47" s="27" t="inlineStr">
        <is>
          <t>Subtotal</t>
        </is>
      </c>
      <c r="C47" s="29">
        <f>+C46+C45</f>
        <v/>
      </c>
      <c r="D47" s="31">
        <f>C47/$C$122</f>
        <v/>
      </c>
      <c r="E47" s="20" t="n"/>
    </row>
    <row r="48" s="42">
      <c r="A48" s="28" t="n">
        <v>13785</v>
      </c>
      <c r="B48" s="2" t="inlineStr">
        <is>
          <t>ANGLOGOLD ASHANTI PLC ZAR</t>
        </is>
      </c>
      <c r="C48" s="18" t="n">
        <v>209299.72</v>
      </c>
      <c r="D48" s="19">
        <f>C48/$C$119</f>
        <v/>
      </c>
      <c r="E48" s="20" t="inlineStr">
        <is>
          <t>BRF6FX9</t>
        </is>
      </c>
    </row>
    <row r="49" s="42">
      <c r="A49" s="41" t="n">
        <v>250715</v>
      </c>
      <c r="B49" s="2" t="inlineStr">
        <is>
          <t>ADNOC DRILLING CO PJSC COMMON STOCK AED</t>
        </is>
      </c>
      <c r="C49" s="33" t="n">
        <v>207091.73</v>
      </c>
      <c r="D49" s="19">
        <f>C49/$C$119</f>
        <v/>
      </c>
      <c r="E49" s="20" t="inlineStr">
        <is>
          <t>BN12D39</t>
        </is>
      </c>
    </row>
    <row r="50" s="42">
      <c r="A50" s="28" t="n">
        <v>12384</v>
      </c>
      <c r="B50" s="2" t="inlineStr">
        <is>
          <t>SAUDI BASIC INDUSTRIES CORP COMMON STOCK SAR 10</t>
        </is>
      </c>
      <c r="C50" s="18" t="n">
        <v>206521.19</v>
      </c>
      <c r="D50" s="19">
        <f>C50/$C$119</f>
        <v/>
      </c>
      <c r="E50" s="20" t="inlineStr">
        <is>
          <t>B1324D0</t>
        </is>
      </c>
    </row>
    <row r="51" s="42">
      <c r="A51" s="28" t="n">
        <v>7421</v>
      </c>
      <c r="B51" s="2" t="inlineStr">
        <is>
          <t>TBC BANK GROUP PLC COMMON STOCK GBP 1</t>
        </is>
      </c>
      <c r="C51" s="18" t="n">
        <v>206303.8</v>
      </c>
      <c r="D51" s="19">
        <f>C51/$C$119</f>
        <v/>
      </c>
      <c r="E51" s="20" t="inlineStr">
        <is>
          <t>BYT1830</t>
        </is>
      </c>
    </row>
    <row r="52" s="42">
      <c r="A52" s="28" t="n">
        <v>30929</v>
      </c>
      <c r="B52" s="2" t="inlineStr">
        <is>
          <t>MOL HUNGARIAN OIL &amp; GAS PLC COMMON STOCK HUF 125</t>
        </is>
      </c>
      <c r="C52" s="18" t="n">
        <v>194188.21</v>
      </c>
      <c r="D52" s="19">
        <f>C52/$C$119</f>
        <v/>
      </c>
      <c r="E52" s="20" t="inlineStr">
        <is>
          <t>BD5ZXH8</t>
        </is>
      </c>
    </row>
    <row r="53" s="42">
      <c r="A53" s="28" t="n">
        <v>19263</v>
      </c>
      <c r="B53" s="2" t="inlineStr">
        <is>
          <t>ETIHAD ETISALAT CO COMMON STOCK SAR 10</t>
        </is>
      </c>
      <c r="C53" s="18" t="n">
        <v>186780.72</v>
      </c>
      <c r="D53" s="19">
        <f>C53/$C$119</f>
        <v/>
      </c>
      <c r="E53" s="20" t="inlineStr">
        <is>
          <t>B12LR51</t>
        </is>
      </c>
    </row>
    <row r="54" s="42">
      <c r="A54" s="28" t="n">
        <v>11272</v>
      </c>
      <c r="B54" s="2" t="inlineStr">
        <is>
          <t>RIYADH CABLES GROUP CO COMMON STOCK SAR 10</t>
        </is>
      </c>
      <c r="C54" s="18" t="n">
        <v>186552.91</v>
      </c>
      <c r="D54" s="19">
        <f>C54/$C$119</f>
        <v/>
      </c>
      <c r="E54" s="20" t="inlineStr">
        <is>
          <t>BNBPXW7</t>
        </is>
      </c>
    </row>
    <row r="55" s="42">
      <c r="A55" s="28" t="n">
        <v>19935</v>
      </c>
      <c r="B55" s="2" t="inlineStr">
        <is>
          <t>POWSZECHNY ZAKLAD UBEZPIECZEN SA COMMON STOCK PLN 0.1</t>
        </is>
      </c>
      <c r="C55" s="18" t="n">
        <v>179915.74</v>
      </c>
      <c r="D55" s="19">
        <f>C55/$C$119</f>
        <v/>
      </c>
      <c r="E55" s="20" t="inlineStr">
        <is>
          <t>B63DG21</t>
        </is>
      </c>
    </row>
    <row r="56" s="42">
      <c r="A56" s="28" t="n">
        <v>4813</v>
      </c>
      <c r="B56" s="2" t="inlineStr">
        <is>
          <t>ARABIAN DRILLING CO COMMON STOCK SAR 10</t>
        </is>
      </c>
      <c r="C56" s="18" t="n">
        <v>177350.49</v>
      </c>
      <c r="D56" s="19">
        <f>C56/$C$119</f>
        <v/>
      </c>
      <c r="E56" s="20" t="inlineStr">
        <is>
          <t>BPNZYP9</t>
        </is>
      </c>
    </row>
    <row r="57" s="42">
      <c r="A57" s="28" t="n">
        <v>39150</v>
      </c>
      <c r="B57" s="2" t="inlineStr">
        <is>
          <t>ADES HOLDING CO COMMON STOCK SAR 1</t>
        </is>
      </c>
      <c r="C57" s="18" t="n">
        <v>177234.69</v>
      </c>
      <c r="D57" s="19">
        <f>C57/$C$119</f>
        <v/>
      </c>
      <c r="E57" s="20" t="inlineStr">
        <is>
          <t>BR56KM3</t>
        </is>
      </c>
    </row>
    <row r="58" s="42">
      <c r="A58" s="28" t="n">
        <v>5598</v>
      </c>
      <c r="B58" s="2" t="inlineStr">
        <is>
          <t>MYTILINEOS SA COMMON STOCK EUR 0.97</t>
        </is>
      </c>
      <c r="C58" s="18" t="n">
        <v>176974.31</v>
      </c>
      <c r="D58" s="19">
        <f>C58/$C$119</f>
        <v/>
      </c>
      <c r="E58" s="20" t="inlineStr">
        <is>
          <t>5898664</t>
        </is>
      </c>
    </row>
    <row r="59" s="42">
      <c r="A59" s="28" t="n">
        <v>7386</v>
      </c>
      <c r="B59" s="2" t="inlineStr">
        <is>
          <t>MOUWASAT MEDICAL SERVICES CO COMMON STOCK SAR 10</t>
        </is>
      </c>
      <c r="C59" s="18" t="n">
        <v>174494.06</v>
      </c>
      <c r="D59" s="19">
        <f>C59/$C$119</f>
        <v/>
      </c>
      <c r="E59" s="20" t="inlineStr">
        <is>
          <t>B403QG4</t>
        </is>
      </c>
    </row>
    <row r="60" s="42">
      <c r="A60" s="28" t="n">
        <v>247235</v>
      </c>
      <c r="B60" s="2" t="inlineStr">
        <is>
          <t>ADNOC GAS PLC</t>
        </is>
      </c>
      <c r="C60" s="18" t="n">
        <v>173903.74</v>
      </c>
      <c r="D60" s="19">
        <f>C60/$C$119</f>
        <v/>
      </c>
      <c r="E60" s="20" t="inlineStr">
        <is>
          <t>BPJLW35</t>
        </is>
      </c>
    </row>
    <row r="61" s="42">
      <c r="A61" s="28" t="n">
        <v>12128</v>
      </c>
      <c r="B61" s="2" t="inlineStr">
        <is>
          <t>NOVA LJUBLJANSKA BANKA DD GDR EUR</t>
        </is>
      </c>
      <c r="C61" s="18" t="n">
        <v>172473.01</v>
      </c>
      <c r="D61" s="19">
        <f>C61/$C$119</f>
        <v/>
      </c>
      <c r="E61" s="20" t="inlineStr">
        <is>
          <t>BGRPD22</t>
        </is>
      </c>
    </row>
    <row r="62" s="42">
      <c r="A62" s="28" t="n">
        <v>61281</v>
      </c>
      <c r="B62" s="2" t="inlineStr">
        <is>
          <t>PIRAEUS FINANCIAL HOLDINGS SA COMMON STOCK EUR 0.93</t>
        </is>
      </c>
      <c r="C62" s="18" t="n">
        <v>171866.56</v>
      </c>
      <c r="D62" s="19">
        <f>C62/$C$119</f>
        <v/>
      </c>
      <c r="E62" s="20" t="inlineStr">
        <is>
          <t>BNC0DB0</t>
        </is>
      </c>
    </row>
    <row r="63" s="42">
      <c r="A63" s="28" t="n">
        <v>144384</v>
      </c>
      <c r="B63" s="2" t="inlineStr">
        <is>
          <t>DUBAI ISLAMIC BANK PJSC COMMON STOCK AED 1</t>
        </is>
      </c>
      <c r="C63" s="18" t="n">
        <v>171438.89</v>
      </c>
      <c r="D63" s="19">
        <f>C63/$C$119</f>
        <v/>
      </c>
      <c r="E63" s="20" t="inlineStr">
        <is>
          <t>6283452</t>
        </is>
      </c>
    </row>
    <row r="64" s="42">
      <c r="A64" s="28" t="n">
        <v>1892</v>
      </c>
      <c r="B64" s="2" t="inlineStr">
        <is>
          <t>KRUK SA COMMON STOCK PLN 1</t>
        </is>
      </c>
      <c r="C64" s="18" t="n">
        <v>171092.34</v>
      </c>
      <c r="D64" s="19">
        <f>C64/$C$119</f>
        <v/>
      </c>
      <c r="E64" s="20" t="inlineStr">
        <is>
          <t>B4PTLY0</t>
        </is>
      </c>
    </row>
    <row r="65" s="42">
      <c r="A65" s="28" t="n">
        <v>13624</v>
      </c>
      <c r="B65" s="2" t="inlineStr">
        <is>
          <t>CLICKS GROUP LTD COMMON STOCK ZAR 1</t>
        </is>
      </c>
      <c r="C65" s="18" t="n">
        <v>167612.71</v>
      </c>
      <c r="D65" s="19">
        <f>C65/$C$119</f>
        <v/>
      </c>
      <c r="E65" s="20" t="inlineStr">
        <is>
          <t>6105578</t>
        </is>
      </c>
    </row>
    <row r="66" s="42">
      <c r="A66" s="28" t="n">
        <v>16665</v>
      </c>
      <c r="B66" s="2" t="inlineStr">
        <is>
          <t>BIDVEST GROUP LTD/THE COMMON STOCK ZAR 5</t>
        </is>
      </c>
      <c r="C66" s="18" t="n">
        <v>163782.72</v>
      </c>
      <c r="D66" s="19">
        <f>C66/$C$119</f>
        <v/>
      </c>
      <c r="E66" s="20" t="inlineStr">
        <is>
          <t>6100089</t>
        </is>
      </c>
    </row>
    <row r="67" s="42">
      <c r="A67" s="28" t="n">
        <v>40456</v>
      </c>
      <c r="B67" s="2" t="inlineStr">
        <is>
          <t>VODACOM GROUP LTD COMMON STOCK ZAR</t>
        </is>
      </c>
      <c r="C67" s="18" t="n">
        <v>163579.51</v>
      </c>
      <c r="D67" s="19">
        <f>C67/$C$119</f>
        <v/>
      </c>
      <c r="E67" s="20" t="inlineStr">
        <is>
          <t>B65B4D0</t>
        </is>
      </c>
    </row>
    <row r="68" s="42">
      <c r="A68" s="28" t="n">
        <v>292031</v>
      </c>
      <c r="B68" s="2" t="inlineStr">
        <is>
          <t>DUBAI ELECTRICITY &amp; WATER AU</t>
        </is>
      </c>
      <c r="C68" s="18" t="n">
        <v>158928.1</v>
      </c>
      <c r="D68" s="19">
        <f>C68/$C$119</f>
        <v/>
      </c>
      <c r="E68" s="20" t="inlineStr">
        <is>
          <t>BJLTVJ4</t>
        </is>
      </c>
    </row>
    <row r="69" s="42">
      <c r="A69" s="28" t="n">
        <v>1268490</v>
      </c>
      <c r="B69" s="2" t="inlineStr">
        <is>
          <t>NOVATEK PJSC COMMON STOCK RUB 0.1</t>
        </is>
      </c>
      <c r="C69" s="18" t="n">
        <v>141834.48</v>
      </c>
      <c r="D69" s="19">
        <f>C69/$C$119</f>
        <v/>
      </c>
      <c r="E69" s="20" t="inlineStr">
        <is>
          <t>2H6464S</t>
        </is>
      </c>
    </row>
    <row r="70" s="42">
      <c r="A70" s="28" t="n">
        <v>103572</v>
      </c>
      <c r="B70" s="2" t="inlineStr">
        <is>
          <t>NOVATEK PJSC COMMON STOCK RUB 0.1</t>
        </is>
      </c>
      <c r="C70" s="18" t="n">
        <v>12562.77</v>
      </c>
      <c r="D70" s="19">
        <f>C70/$C$119</f>
        <v/>
      </c>
      <c r="E70" s="20" t="inlineStr">
        <is>
          <t>0H5828S</t>
        </is>
      </c>
    </row>
    <row r="71" s="42">
      <c r="A71" s="28" t="n"/>
      <c r="B71" s="27" t="inlineStr">
        <is>
          <t>Subtotal</t>
        </is>
      </c>
      <c r="C71" s="29">
        <f>+C70+C69</f>
        <v/>
      </c>
      <c r="D71" s="31">
        <f>C71/$C$122</f>
        <v/>
      </c>
      <c r="E71" s="20" t="n"/>
    </row>
    <row r="72" s="42">
      <c r="A72" s="28" t="n">
        <v>49840</v>
      </c>
      <c r="B72" s="2" t="inlineStr">
        <is>
          <t>JARIR MARKETING CO COMMON STOCK SAR 1</t>
        </is>
      </c>
      <c r="C72" s="18" t="n">
        <v>153007.97</v>
      </c>
      <c r="D72" s="19">
        <f>C72/$C$119</f>
        <v/>
      </c>
      <c r="E72" s="20" t="inlineStr">
        <is>
          <t>B128FM5</t>
        </is>
      </c>
    </row>
    <row r="73" s="42">
      <c r="A73" s="28" t="n">
        <v>1902</v>
      </c>
      <c r="B73" s="2" t="inlineStr">
        <is>
          <t>JSC KASPI.KZ GDR-REG S</t>
        </is>
      </c>
      <c r="C73" s="18" t="n">
        <v>152947.27</v>
      </c>
      <c r="D73" s="19">
        <f>C73/$C$119</f>
        <v/>
      </c>
      <c r="E73" s="20" t="inlineStr">
        <is>
          <t>BMXZ8G7</t>
        </is>
      </c>
    </row>
    <row r="74" s="42">
      <c r="A74" s="28" t="n">
        <v>22211</v>
      </c>
      <c r="B74" s="2" t="inlineStr">
        <is>
          <t>SAHARA INTERNATIONAL PETROCHEMICAL CO COMMON STOCK SAR 10</t>
        </is>
      </c>
      <c r="C74" s="18" t="n">
        <v>151293.72</v>
      </c>
      <c r="D74" s="19">
        <f>C74/$C$119</f>
        <v/>
      </c>
      <c r="E74" s="20" t="inlineStr">
        <is>
          <t>B1C1NH5</t>
        </is>
      </c>
    </row>
    <row r="75" s="42">
      <c r="A75" s="28" t="n">
        <v>20423</v>
      </c>
      <c r="B75" s="2" t="inlineStr">
        <is>
          <t>SAUDI AWWAL BANK COMMON STOCK SAR 10</t>
        </is>
      </c>
      <c r="C75" s="18" t="n">
        <v>149220.16</v>
      </c>
      <c r="D75" s="19">
        <f>C75/$C$119</f>
        <v/>
      </c>
      <c r="E75" s="20" t="inlineStr">
        <is>
          <t>B12LSY7</t>
        </is>
      </c>
    </row>
    <row r="76" s="42">
      <c r="A76" s="41" t="n">
        <v>3798</v>
      </c>
      <c r="B76" s="2" t="inlineStr">
        <is>
          <t>ARABIAN CONTRACTING SERVICES CO COMMON STOCK SAR</t>
        </is>
      </c>
      <c r="C76" s="33" t="n">
        <v>148106.61</v>
      </c>
      <c r="D76" s="19">
        <f>C76/$C$119</f>
        <v/>
      </c>
      <c r="E76" s="20" t="inlineStr">
        <is>
          <t>BP4DC81</t>
        </is>
      </c>
    </row>
    <row r="77" s="42">
      <c r="A77" s="28" t="n">
        <v>36992</v>
      </c>
      <c r="B77" s="2" t="inlineStr">
        <is>
          <t>BANCA TRANSILVANIA SA COMMON STOCK RON 1</t>
        </is>
      </c>
      <c r="C77" s="18" t="n">
        <v>147472.23</v>
      </c>
      <c r="D77" s="19">
        <f>C77/$C$119</f>
        <v/>
      </c>
      <c r="E77" s="20" t="inlineStr">
        <is>
          <t>5393307</t>
        </is>
      </c>
    </row>
    <row r="78" s="42">
      <c r="A78" s="28" t="n">
        <v>50</v>
      </c>
      <c r="B78" s="2" t="inlineStr">
        <is>
          <t>LPP SA COMMON STOCK PLN 2</t>
        </is>
      </c>
      <c r="C78" s="18" t="n">
        <v>147086.28</v>
      </c>
      <c r="D78" s="19">
        <f>C78/$C$119</f>
        <v/>
      </c>
      <c r="E78" s="20" t="inlineStr">
        <is>
          <t>7127979</t>
        </is>
      </c>
    </row>
    <row r="79" s="42">
      <c r="A79" s="28" t="n">
        <v>66726</v>
      </c>
      <c r="B79" s="2" t="inlineStr">
        <is>
          <t>ABU DHABI ISLAMIC BANK PJSC COMMON STOCK AED 1</t>
        </is>
      </c>
      <c r="C79" s="18" t="n">
        <v>146114.76</v>
      </c>
      <c r="D79" s="19">
        <f>C79/$C$119</f>
        <v/>
      </c>
      <c r="E79" s="20" t="inlineStr">
        <is>
          <t>6001728</t>
        </is>
      </c>
    </row>
    <row r="80" s="42">
      <c r="A80" s="28" t="n">
        <v>49360</v>
      </c>
      <c r="B80" s="2" t="inlineStr">
        <is>
          <t>FIRST ABU DHABI BANK PJSC COMMON STOCK AED 1</t>
        </is>
      </c>
      <c r="C80" s="18" t="n">
        <v>145461.12</v>
      </c>
      <c r="D80" s="19">
        <f>C80/$C$119</f>
        <v/>
      </c>
      <c r="E80" s="20" t="inlineStr">
        <is>
          <t>6624471</t>
        </is>
      </c>
    </row>
    <row r="81" s="42">
      <c r="A81" s="28" t="n">
        <v>12548</v>
      </c>
      <c r="B81" s="2" t="inlineStr">
        <is>
          <t>HELLENIC TELECOMMUNICATIONS ORGANIZATION SA COMMON STOCK EUR 2.83</t>
        </is>
      </c>
      <c r="C81" s="18" t="n">
        <v>145352.26</v>
      </c>
      <c r="D81" s="19">
        <f>C81/$C$119</f>
        <v/>
      </c>
      <c r="E81" s="20" t="inlineStr">
        <is>
          <t>5051605</t>
        </is>
      </c>
    </row>
    <row r="82" s="42">
      <c r="A82" s="28" t="n">
        <v>11282</v>
      </c>
      <c r="B82" s="2" t="inlineStr">
        <is>
          <t>OPAP SA COMMON STOCK EUR 0.3</t>
        </is>
      </c>
      <c r="C82" s="18" t="n">
        <v>142939.23</v>
      </c>
      <c r="D82" s="19">
        <f>C82/$C$119</f>
        <v/>
      </c>
      <c r="E82" s="20" t="inlineStr">
        <is>
          <t>7107250</t>
        </is>
      </c>
    </row>
    <row r="83" s="42">
      <c r="A83" s="28" t="n">
        <v>5652</v>
      </c>
      <c r="B83" s="2" t="inlineStr">
        <is>
          <t>KOMERCNI BANKA AS COMMON STOCK CZK 100</t>
        </is>
      </c>
      <c r="C83" s="18" t="n">
        <v>137880.09</v>
      </c>
      <c r="D83" s="19">
        <f>C83/$C$119</f>
        <v/>
      </c>
      <c r="E83" s="20" t="inlineStr">
        <is>
          <t>4519449</t>
        </is>
      </c>
    </row>
    <row r="84" s="42">
      <c r="A84" s="28" t="n">
        <v>9725</v>
      </c>
      <c r="B84" s="2" t="inlineStr">
        <is>
          <t>UNITED INTERNATIONAL TRANSPORTATION CO COMMON STOCK SAR 10</t>
        </is>
      </c>
      <c r="C84" s="18" t="n">
        <v>137606</v>
      </c>
      <c r="D84" s="19">
        <f>C84/$C$119</f>
        <v/>
      </c>
      <c r="E84" s="20" t="inlineStr">
        <is>
          <t>B2493D0</t>
        </is>
      </c>
    </row>
    <row r="85" s="42">
      <c r="A85" s="28" t="n">
        <v>196322</v>
      </c>
      <c r="B85" s="2" t="inlineStr">
        <is>
          <t>QATAR GAS TRANSPORT CO LTD COMMON STOCK QAR 1</t>
        </is>
      </c>
      <c r="C85" s="18" t="n">
        <v>137190</v>
      </c>
      <c r="D85" s="19">
        <f>C85/$C$119</f>
        <v/>
      </c>
      <c r="E85" s="20" t="inlineStr">
        <is>
          <t>B0MLBC9</t>
        </is>
      </c>
    </row>
    <row r="86" s="42">
      <c r="A86" s="28" t="n">
        <v>71192</v>
      </c>
      <c r="B86" s="2" t="inlineStr">
        <is>
          <t>MMC NORILSK NICKEL PJSC COMMON STOCK RUB 1</t>
        </is>
      </c>
      <c r="C86" s="18" t="n">
        <v>135930.21</v>
      </c>
      <c r="D86" s="19">
        <f>C86/$C$119</f>
        <v/>
      </c>
      <c r="E86" s="20" t="inlineStr">
        <is>
          <t>0H5804S</t>
        </is>
      </c>
    </row>
    <row r="87" s="42">
      <c r="A87" s="28" t="n">
        <v>60427</v>
      </c>
      <c r="B87" s="2" t="inlineStr">
        <is>
          <t>OOREDOO QPSC COMMON STOCK QAR 1</t>
        </is>
      </c>
      <c r="C87" s="18" t="n">
        <v>129432.38</v>
      </c>
      <c r="D87" s="19">
        <f>C87/$C$119</f>
        <v/>
      </c>
      <c r="E87" s="20" t="inlineStr">
        <is>
          <t>6158174</t>
        </is>
      </c>
    </row>
    <row r="88" s="42">
      <c r="A88" s="28" t="n">
        <v>187852</v>
      </c>
      <c r="B88" s="2" t="inlineStr">
        <is>
          <t>SALIK CO PJSC COMMON STOCK AED 0.01</t>
        </is>
      </c>
      <c r="C88" s="18" t="n">
        <v>128901.42</v>
      </c>
      <c r="D88" s="19">
        <f>C88/$C$119</f>
        <v/>
      </c>
      <c r="E88" s="20" t="inlineStr">
        <is>
          <t>BJN5952</t>
        </is>
      </c>
    </row>
    <row r="89" s="42">
      <c r="A89" s="28" t="n">
        <v>764</v>
      </c>
      <c r="B89" s="2" t="inlineStr">
        <is>
          <t>ELM CO COMMON STOCK SAR 10</t>
        </is>
      </c>
      <c r="C89" s="18" t="n">
        <v>119203.79</v>
      </c>
      <c r="D89" s="19">
        <f>C89/$C$119</f>
        <v/>
      </c>
      <c r="E89" s="20" t="inlineStr">
        <is>
          <t>BNYDSH8</t>
        </is>
      </c>
    </row>
    <row r="90" s="42">
      <c r="A90" s="28" t="n">
        <v>498960</v>
      </c>
      <c r="B90" s="2" t="inlineStr">
        <is>
          <t>AL ANSARI FINANCIAL SERVICES PJSC COMMON STOCK AED</t>
        </is>
      </c>
      <c r="C90" s="18" t="n">
        <v>114841.99</v>
      </c>
      <c r="D90" s="19">
        <f>C90/$C$119</f>
        <v/>
      </c>
      <c r="E90" s="20" t="inlineStr">
        <is>
          <t>BMWB101</t>
        </is>
      </c>
    </row>
    <row r="91" s="42">
      <c r="A91" s="28" t="n">
        <v>133931</v>
      </c>
      <c r="B91" s="2" t="inlineStr">
        <is>
          <t>ADNOC LOGISTICS &amp; SERVICES COMMON STOCK AED</t>
        </is>
      </c>
      <c r="C91" s="18" t="n">
        <v>109475.24</v>
      </c>
      <c r="D91" s="19">
        <f>C91/$C$119</f>
        <v/>
      </c>
      <c r="E91" s="20" t="inlineStr">
        <is>
          <t>6H9334S</t>
        </is>
      </c>
    </row>
    <row r="92" s="42">
      <c r="A92" s="28" t="n">
        <v>33462</v>
      </c>
      <c r="B92" s="2" t="inlineStr">
        <is>
          <t>AVI LTD COMMON STOCK ZAR 5</t>
        </is>
      </c>
      <c r="C92" s="18" t="n">
        <v>109258.25</v>
      </c>
      <c r="D92" s="19">
        <f>C92/$C$119</f>
        <v/>
      </c>
      <c r="E92" s="20" t="inlineStr">
        <is>
          <t>6040958</t>
        </is>
      </c>
    </row>
    <row r="93" s="42">
      <c r="A93" s="28" t="n">
        <v>2526</v>
      </c>
      <c r="B93" s="2" t="inlineStr">
        <is>
          <t>BUPA ARABIA FOR COOPERATIVE INSURANCE CO COMMON STOCK SAR 10</t>
        </is>
      </c>
      <c r="C93" s="18" t="n">
        <v>105950.05</v>
      </c>
      <c r="D93" s="19">
        <f>C93/$C$119</f>
        <v/>
      </c>
      <c r="E93" s="20" t="inlineStr">
        <is>
          <t>B2RLCR0</t>
        </is>
      </c>
    </row>
    <row r="94" s="42">
      <c r="A94" s="28" t="n">
        <v>2041744</v>
      </c>
      <c r="B94" s="2" t="inlineStr">
        <is>
          <t>ROSNEFT OIL CO PJSC COMMON STOCK RUB 0.01</t>
        </is>
      </c>
      <c r="C94" s="18" t="n">
        <v>60035.33</v>
      </c>
      <c r="D94" s="19">
        <f>C94/$C$119</f>
        <v/>
      </c>
      <c r="E94" s="20" t="inlineStr">
        <is>
          <t>0H5827S</t>
        </is>
      </c>
    </row>
    <row r="95" s="42">
      <c r="A95" s="28" t="n">
        <v>1677948</v>
      </c>
      <c r="B95" s="2" t="inlineStr">
        <is>
          <t>ROSNEFT OIL CO PJSC COMMON STOCK RUB</t>
        </is>
      </c>
      <c r="C95" s="18" t="n">
        <v>45536.79</v>
      </c>
      <c r="D95" s="19">
        <f>C95/$C$119</f>
        <v/>
      </c>
      <c r="E95" s="20" t="inlineStr">
        <is>
          <t>2H7674S</t>
        </is>
      </c>
    </row>
    <row r="96" s="42">
      <c r="A96" s="28" t="n"/>
      <c r="B96" s="27" t="inlineStr">
        <is>
          <t>Subtotal</t>
        </is>
      </c>
      <c r="C96" s="29">
        <f>+C95+C94</f>
        <v/>
      </c>
      <c r="D96" s="31">
        <f>C96/$C$122</f>
        <v/>
      </c>
      <c r="E96" s="20" t="n"/>
    </row>
    <row r="97" s="42">
      <c r="A97" s="28" t="n">
        <v>24782</v>
      </c>
      <c r="B97" s="2" t="inlineStr">
        <is>
          <t>ARABIAN CENTRES CO LTD COMMON STOCK SAR 10</t>
        </is>
      </c>
      <c r="C97" s="18" t="n">
        <v>103527.69</v>
      </c>
      <c r="D97" s="19">
        <f>C97/$C$119</f>
        <v/>
      </c>
      <c r="E97" s="20" t="inlineStr">
        <is>
          <t>BKBF694</t>
        </is>
      </c>
    </row>
    <row r="98" s="42">
      <c r="A98" s="41" t="n">
        <v>2904</v>
      </c>
      <c r="B98" s="2" t="inlineStr">
        <is>
          <t>LEEJAM SPORTS CO JSC COMMON STOCK SAR 10</t>
        </is>
      </c>
      <c r="C98" s="33" t="n">
        <v>101014.83</v>
      </c>
      <c r="D98" s="19">
        <f>C98/$C$119</f>
        <v/>
      </c>
      <c r="E98" s="20" t="inlineStr">
        <is>
          <t>BF12ZV5</t>
        </is>
      </c>
    </row>
    <row r="99" s="42">
      <c r="A99" s="28" t="n">
        <v>13053</v>
      </c>
      <c r="B99" s="2" t="inlineStr">
        <is>
          <t>HUMANSOFT HOLDING CO KSC COMMON STOCK KWD 100</t>
        </is>
      </c>
      <c r="C99" s="18" t="n">
        <v>100553.58</v>
      </c>
      <c r="D99" s="19">
        <f>C99/$C$119</f>
        <v/>
      </c>
      <c r="E99" s="20" t="inlineStr">
        <is>
          <t>B13BYX7</t>
        </is>
      </c>
    </row>
    <row r="100" s="42">
      <c r="A100" s="28" t="n">
        <v>3428</v>
      </c>
      <c r="B100" s="2" t="inlineStr">
        <is>
          <t>ALDREES PETROLEUM AND TRANSPORT SERVICES CO COMMON STOCK SAR 10</t>
        </is>
      </c>
      <c r="C100" s="18" t="n">
        <v>93257.08</v>
      </c>
      <c r="D100" s="19">
        <f>C100/$C$119</f>
        <v/>
      </c>
      <c r="E100" s="20" t="inlineStr">
        <is>
          <t>B128FF8</t>
        </is>
      </c>
    </row>
    <row r="101" s="42">
      <c r="A101" s="28" t="n">
        <v>20379</v>
      </c>
      <c r="B101" s="2" t="inlineStr">
        <is>
          <t>MOTUS HOLDINGS LTD COMMON STOCK ZAR</t>
        </is>
      </c>
      <c r="C101" s="18" t="n">
        <v>79070.32000000001</v>
      </c>
      <c r="D101" s="19">
        <f>C101/$C$119</f>
        <v/>
      </c>
      <c r="E101" s="20" t="inlineStr">
        <is>
          <t>BDRN3H0</t>
        </is>
      </c>
    </row>
    <row r="102" s="42">
      <c r="A102" s="28" t="n">
        <v>3657350</v>
      </c>
      <c r="B102" s="2" t="inlineStr">
        <is>
          <t>NOVOLIPETSK STEEL PJSC COMMON STOCK RUB</t>
        </is>
      </c>
      <c r="C102" s="18" t="n">
        <v>60422.81</v>
      </c>
      <c r="D102" s="19">
        <f>C102/$C$119</f>
        <v/>
      </c>
      <c r="E102" s="20" t="inlineStr">
        <is>
          <t>2H7675S</t>
        </is>
      </c>
    </row>
    <row r="103" s="42">
      <c r="A103" s="28" t="n">
        <v>180877</v>
      </c>
      <c r="B103" s="2" t="inlineStr">
        <is>
          <t>MAGNIT PJSC COMMON STOCK RUB 0.01</t>
        </is>
      </c>
      <c r="C103" s="18" t="n">
        <v>53530.32</v>
      </c>
      <c r="D103" s="19">
        <f>C103/$C$119</f>
        <v/>
      </c>
      <c r="E103" s="20" t="inlineStr">
        <is>
          <t>0H5813S</t>
        </is>
      </c>
    </row>
    <row r="104" s="42">
      <c r="A104" s="28" t="n">
        <v>1265335</v>
      </c>
      <c r="B104" s="2" t="inlineStr">
        <is>
          <t>GAZPROM NEFT PJSC COMMON STOCK RUB</t>
        </is>
      </c>
      <c r="C104" s="18" t="n">
        <v>48373.63</v>
      </c>
      <c r="D104" s="19">
        <f>C104/$C$119</f>
        <v/>
      </c>
      <c r="E104" s="20" t="inlineStr">
        <is>
          <t>0H5803S</t>
        </is>
      </c>
    </row>
    <row r="105" s="42">
      <c r="A105" s="28" t="n">
        <v>730066</v>
      </c>
      <c r="B105" s="2" t="inlineStr">
        <is>
          <t>TATNEFT PJSC COMMON STOCK RUB</t>
        </is>
      </c>
      <c r="C105" s="18" t="n">
        <v>26161.27</v>
      </c>
      <c r="D105" s="19">
        <f>C105/$C$119</f>
        <v/>
      </c>
      <c r="E105" s="20" t="inlineStr">
        <is>
          <t>0H5822S</t>
        </is>
      </c>
    </row>
    <row r="106" s="42">
      <c r="A106" s="28" t="n">
        <v>571359</v>
      </c>
      <c r="B106" s="2" t="inlineStr">
        <is>
          <t>TATNEFT PJSC PREFERENCE RUB 1</t>
        </is>
      </c>
      <c r="C106" s="18" t="n">
        <v>18131.3</v>
      </c>
      <c r="D106" s="19">
        <f>C106/$C$119</f>
        <v/>
      </c>
      <c r="E106" s="20" t="inlineStr">
        <is>
          <t>0H5816S</t>
        </is>
      </c>
    </row>
    <row r="107" s="42">
      <c r="A107" s="28" t="n"/>
      <c r="B107" s="27" t="inlineStr">
        <is>
          <t>Subtotal</t>
        </is>
      </c>
      <c r="C107" s="29">
        <f>+C106+C105</f>
        <v/>
      </c>
      <c r="D107" s="31">
        <f>C107/$C$122</f>
        <v/>
      </c>
      <c r="E107" s="20" t="n"/>
    </row>
    <row r="108" s="42">
      <c r="A108" s="28" t="n">
        <v>6156103</v>
      </c>
      <c r="B108" s="2" t="inlineStr">
        <is>
          <t>ROSTELECOM PJSC COMMON STOCK RUB</t>
        </is>
      </c>
      <c r="C108" s="18" t="n">
        <v>41727.18</v>
      </c>
      <c r="D108" s="19">
        <f>C108/$C$119</f>
        <v/>
      </c>
      <c r="E108" s="20" t="inlineStr">
        <is>
          <t>0H5802S</t>
        </is>
      </c>
    </row>
    <row r="109" s="42">
      <c r="A109" s="41" t="n">
        <v>21233273216</v>
      </c>
      <c r="B109" s="2" t="inlineStr">
        <is>
          <t>VTB BANK PJSC COMMON STOCK RUB 0.01</t>
        </is>
      </c>
      <c r="C109" s="33" t="n">
        <v>39918.79</v>
      </c>
      <c r="D109" s="19">
        <f>C109/$C$119</f>
        <v/>
      </c>
      <c r="E109" s="20" t="inlineStr">
        <is>
          <t>0H5837S</t>
        </is>
      </c>
    </row>
    <row r="110" s="42">
      <c r="A110" s="28" t="n">
        <v>29773</v>
      </c>
      <c r="B110" s="2" t="inlineStr">
        <is>
          <t>POLYUS PJSC COMMON STOCK RUB</t>
        </is>
      </c>
      <c r="C110" s="18" t="n">
        <v>29182.11</v>
      </c>
      <c r="D110" s="19">
        <f>C110/$C$119</f>
        <v/>
      </c>
      <c r="E110" s="20" t="inlineStr">
        <is>
          <t>2H7182S</t>
        </is>
      </c>
    </row>
    <row r="111" s="42">
      <c r="A111" s="28" t="n">
        <v>169819</v>
      </c>
      <c r="B111" s="2" t="inlineStr">
        <is>
          <t>YANDEX NV COMMON STOCK USD 0.01</t>
        </is>
      </c>
      <c r="C111" s="18" t="n">
        <v>25406.79</v>
      </c>
      <c r="D111" s="19">
        <f>C111/$C$119</f>
        <v/>
      </c>
      <c r="E111" s="20" t="inlineStr">
        <is>
          <t>0H6379S</t>
        </is>
      </c>
    </row>
    <row r="112" s="42">
      <c r="A112" s="28" t="n">
        <v>432517</v>
      </c>
      <c r="B112" s="2" t="inlineStr">
        <is>
          <t>MD MEDICAL GROUP INVESTMENTS PLC GDR USD</t>
        </is>
      </c>
      <c r="C112" s="18" t="n">
        <v>19474.28</v>
      </c>
      <c r="D112" s="19">
        <f>C112/$C$119</f>
        <v/>
      </c>
      <c r="E112" s="20" t="inlineStr">
        <is>
          <t>0H6371S</t>
        </is>
      </c>
    </row>
    <row r="113" s="42">
      <c r="A113" s="28" t="n">
        <v>12313057</v>
      </c>
      <c r="B113" s="2" t="inlineStr">
        <is>
          <t>SISTEMA PJSFC COMMON STOCK RUB 0.09</t>
        </is>
      </c>
      <c r="C113" s="18" t="n">
        <v>14637.26</v>
      </c>
      <c r="D113" s="19">
        <f>C113/$C$119</f>
        <v/>
      </c>
      <c r="E113" s="20" t="inlineStr">
        <is>
          <t>0H5808S</t>
        </is>
      </c>
    </row>
    <row r="114" s="42">
      <c r="A114" s="28" t="n">
        <v>577525</v>
      </c>
      <c r="B114" s="2" t="inlineStr">
        <is>
          <t>FIX PRICE GROUP LTD GDR</t>
        </is>
      </c>
      <c r="C114" s="18" t="n">
        <v>4288.27</v>
      </c>
      <c r="D114" s="19">
        <f>C114/$C$119</f>
        <v/>
      </c>
      <c r="E114" s="20" t="inlineStr">
        <is>
          <t>0H6372S</t>
        </is>
      </c>
    </row>
    <row r="115" s="42">
      <c r="A115" s="28" t="n">
        <v>75226</v>
      </c>
      <c r="B115" s="2" t="inlineStr">
        <is>
          <t>TCS GROUP HOLDING PLC GDR</t>
        </is>
      </c>
      <c r="C115" s="18" t="n">
        <v>1897.37</v>
      </c>
      <c r="D115" s="19">
        <f>C115/$C$119</f>
        <v/>
      </c>
      <c r="E115" s="20" t="inlineStr">
        <is>
          <t>0H6380S</t>
        </is>
      </c>
    </row>
    <row r="116" s="42">
      <c r="A116" s="28" t="n">
        <v>275182</v>
      </c>
      <c r="B116" s="2" t="inlineStr">
        <is>
          <t>X 5 RETAIL GROUP NV-REGS GDR</t>
        </is>
      </c>
      <c r="C116" s="18" t="n">
        <v>1155.12</v>
      </c>
      <c r="D116" s="19">
        <f>C116/$C$119</f>
        <v/>
      </c>
      <c r="E116" s="20" t="inlineStr">
        <is>
          <t>0H6365S</t>
        </is>
      </c>
    </row>
    <row r="117" s="42">
      <c r="A117" s="28" t="n">
        <v>552780</v>
      </c>
      <c r="B117" s="2" t="inlineStr">
        <is>
          <t>SEVERSTAL PAO GDR USD</t>
        </is>
      </c>
      <c r="C117" s="18" t="n">
        <v>262.43</v>
      </c>
      <c r="D117" s="19">
        <f>C117/$C$119</f>
        <v/>
      </c>
      <c r="E117" s="20" t="inlineStr">
        <is>
          <t>0H6368S</t>
        </is>
      </c>
    </row>
    <row r="118" s="42">
      <c r="A118" s="28" t="n"/>
      <c r="B118" s="2" t="n"/>
      <c r="C118" s="18" t="n"/>
      <c r="D118" s="19" t="n"/>
      <c r="E118" s="20" t="n"/>
    </row>
    <row r="119" s="42">
      <c r="A119" s="28" t="n"/>
      <c r="B119" s="21" t="inlineStr">
        <is>
          <t>Total portfolio</t>
        </is>
      </c>
      <c r="C119" s="39">
        <f>SUM(C12:C28)+SUM(C30:C38)+SUM(C40:C46)+SUM(C48:C70)+SUM(C72:C95)+SUM(C97:C106)+SUM(C108:C117)</f>
        <v/>
      </c>
      <c r="D119" s="19">
        <f>C119/$C$122</f>
        <v/>
      </c>
      <c r="E119" s="20" t="n"/>
    </row>
    <row r="120">
      <c r="A120" s="28" t="n"/>
      <c r="B120" s="21" t="inlineStr">
        <is>
          <t>Net Current Assets</t>
        </is>
      </c>
      <c r="C120" s="39" t="n">
        <v>106102.08</v>
      </c>
      <c r="D120" s="19">
        <f>C120/$C$122</f>
        <v/>
      </c>
      <c r="E120" s="20" t="n"/>
    </row>
    <row r="121">
      <c r="A121" s="28" t="n"/>
      <c r="B121" s="21" t="n"/>
      <c r="C121" s="39" t="n"/>
      <c r="D121" s="32" t="n"/>
      <c r="E121" s="20" t="n"/>
    </row>
    <row r="122">
      <c r="B122" s="21" t="inlineStr">
        <is>
          <t>Total Assets</t>
        </is>
      </c>
      <c r="C122" s="22">
        <f>C119+C120</f>
        <v/>
      </c>
      <c r="D122" s="19">
        <f>C122/$C$122</f>
        <v/>
      </c>
    </row>
    <row r="123">
      <c r="A123"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4"/>
    <row r="125"/>
    <row r="126"/>
    <row r="127">
      <c r="A127" s="44" t="n"/>
      <c r="B127" s="44" t="n"/>
      <c r="C127" s="44" t="n"/>
      <c r="D127" s="44" t="n"/>
      <c r="E127" s="44" t="n"/>
    </row>
    <row r="128">
      <c r="A128" s="44" t="n"/>
      <c r="B128" s="44" t="n"/>
      <c r="C128" s="44" t="n"/>
      <c r="D128" s="44" t="n"/>
      <c r="E128" s="44" t="n"/>
    </row>
  </sheetData>
  <mergeCells count="2">
    <mergeCell ref="A123:E126"/>
    <mergeCell ref="A3:E6"/>
  </mergeCells>
  <conditionalFormatting sqref="B13:B118">
    <cfRule type="containsText" priority="4" operator="containsText" dxfId="0" text="LIQUIDITY">
      <formula>NOT(ISERROR(SEARCH("LIQUIDITY",B13)))</formula>
    </cfRule>
  </conditionalFormatting>
  <pageMargins left="0.7" right="0.7" top="0.75" bottom="0.75" header="0.3" footer="0.3"/>
  <pageSetup orientation="portrait" paperSize="9"/>
</worksheet>
</file>

<file path=xl/worksheets/sheet25.xml><?xml version="1.0" encoding="utf-8"?>
<worksheet xmlns="http://schemas.openxmlformats.org/spreadsheetml/2006/main">
  <sheetPr>
    <outlinePr summaryBelow="1" summaryRight="1"/>
    <pageSetUpPr/>
  </sheetPr>
  <dimension ref="A1:E122"/>
  <sheetViews>
    <sheetView topLeftCell="A11" workbookViewId="0">
      <selection activeCell="B12" sqref="B12"/>
    </sheetView>
  </sheetViews>
  <sheetFormatPr baseColWidth="8" defaultRowHeight="12.75"/>
  <cols>
    <col width="15.140625" bestFit="1" customWidth="1" style="17" min="1" max="1"/>
    <col width="56.5703125" customWidth="1" style="2" min="2" max="2"/>
    <col width="17.140625" customWidth="1" style="3" min="3" max="3"/>
    <col width="9.140625" customWidth="1" style="3" min="4" max="4"/>
    <col width="10.28515625" customWidth="1" style="3" min="5" max="5"/>
  </cols>
  <sheetData>
    <row r="1">
      <c r="A1" s="1" t="inlineStr">
        <is>
          <t>JPMorgan Emerging Europe, Middle East &amp; Africa Securities plc</t>
        </is>
      </c>
    </row>
    <row r="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c r="A4" s="63" t="n"/>
      <c r="E4" s="64" t="n"/>
    </row>
    <row r="5">
      <c r="A5" s="63" t="n"/>
      <c r="E5" s="64" t="n"/>
    </row>
    <row r="6">
      <c r="A6" s="65" t="n"/>
      <c r="B6" s="66" t="n"/>
      <c r="C6" s="66" t="n"/>
      <c r="D6" s="66" t="n"/>
      <c r="E6" s="67" t="n"/>
    </row>
    <row r="7">
      <c r="A7" s="5" t="n"/>
      <c r="B7" s="5" t="n"/>
    </row>
    <row r="8">
      <c r="A8" s="4" t="inlineStr">
        <is>
          <t>Full portfolio listing as at close of business 31st October 2023</t>
        </is>
      </c>
    </row>
    <row r="9">
      <c r="A9" s="6" t="n"/>
    </row>
    <row r="10">
      <c r="A10" s="7" t="inlineStr">
        <is>
          <t>Holding</t>
        </is>
      </c>
      <c r="B10" s="8" t="inlineStr">
        <is>
          <t>Security Description</t>
        </is>
      </c>
      <c r="C10" s="9" t="inlineStr">
        <is>
          <t>Market Value</t>
        </is>
      </c>
      <c r="D10" s="10" t="inlineStr">
        <is>
          <t>% of Fund</t>
        </is>
      </c>
      <c r="E10" s="11" t="inlineStr">
        <is>
          <t>Security No.</t>
        </is>
      </c>
    </row>
    <row r="11">
      <c r="A11" s="12" t="n"/>
      <c r="B11" s="13" t="n"/>
      <c r="C11" s="14" t="n"/>
      <c r="D11" s="15" t="n"/>
      <c r="E11" s="16" t="n"/>
    </row>
    <row r="12">
      <c r="A12" s="28" t="n">
        <v>1000786.64</v>
      </c>
      <c r="B12" s="2" t="inlineStr">
        <is>
          <t>JPM GBP LIQUIDITY LVNAV X (DIST.)</t>
        </is>
      </c>
      <c r="C12" s="18" t="n">
        <v>1000786.64</v>
      </c>
      <c r="D12" s="19">
        <f>C12/$C$118</f>
        <v/>
      </c>
      <c r="E12" s="38" t="inlineStr">
        <is>
          <t>5819115</t>
        </is>
      </c>
    </row>
    <row r="13">
      <c r="A13" s="28" t="n">
        <v>52402</v>
      </c>
      <c r="B13" s="2" t="inlineStr">
        <is>
          <t>AL RAJHI BANK COMMON STOCK SAR 10</t>
        </is>
      </c>
      <c r="C13" s="18" t="n">
        <v>771230.6</v>
      </c>
      <c r="D13" s="19">
        <f>C13/$C$118</f>
        <v/>
      </c>
      <c r="E13" s="38" t="inlineStr">
        <is>
          <t>B12LZH9</t>
        </is>
      </c>
    </row>
    <row r="14">
      <c r="A14" s="28" t="n">
        <v>95550</v>
      </c>
      <c r="B14" s="2" t="inlineStr">
        <is>
          <t>SAUDI ARABIAN OIL CO COMMON STOCK SAR</t>
        </is>
      </c>
      <c r="C14" s="18" t="n">
        <v>697885.1</v>
      </c>
      <c r="D14" s="19">
        <f>C14/$C$118</f>
        <v/>
      </c>
      <c r="E14" s="20" t="inlineStr">
        <is>
          <t>BJTM270</t>
        </is>
      </c>
    </row>
    <row r="15">
      <c r="A15" s="41" t="n">
        <v>81271</v>
      </c>
      <c r="B15" s="2" t="inlineStr">
        <is>
          <t>THE SAUDI NATIONAL BANK</t>
        </is>
      </c>
      <c r="C15" s="33" t="n">
        <v>598948.8199999999</v>
      </c>
      <c r="D15" s="19">
        <f>C15/$C$118</f>
        <v/>
      </c>
      <c r="E15" s="20" t="inlineStr">
        <is>
          <t>BSHYYN1</t>
        </is>
      </c>
    </row>
    <row r="16">
      <c r="A16" s="28" t="n">
        <v>4185</v>
      </c>
      <c r="B16" s="2" t="inlineStr">
        <is>
          <t>NASPERS LTD COMMON STOCK ZAR 2</t>
        </is>
      </c>
      <c r="C16" s="18" t="n">
        <v>535225.87</v>
      </c>
      <c r="D16" s="19">
        <f>C16/$C$118</f>
        <v/>
      </c>
      <c r="E16" s="38" t="inlineStr">
        <is>
          <t>BN0VX82</t>
        </is>
      </c>
    </row>
    <row r="17">
      <c r="A17" s="28" t="n">
        <v>52618</v>
      </c>
      <c r="B17" s="2" t="inlineStr">
        <is>
          <t>SAUDI TELECOM CO COMMON STOCK</t>
        </is>
      </c>
      <c r="C17" s="18" t="n">
        <v>443840.72</v>
      </c>
      <c r="D17" s="19">
        <f>C17/$C$118</f>
        <v/>
      </c>
      <c r="E17" s="38" t="inlineStr">
        <is>
          <t>B12M7Q5</t>
        </is>
      </c>
    </row>
    <row r="18">
      <c r="A18" s="41" t="n">
        <v>164763</v>
      </c>
      <c r="B18" s="2" t="inlineStr">
        <is>
          <t>FIRSTRAND LTD COMMON STOCK ZAR 1</t>
        </is>
      </c>
      <c r="C18" s="33" t="n">
        <v>442174.82</v>
      </c>
      <c r="D18" s="19">
        <f>C18/$C$118</f>
        <v/>
      </c>
      <c r="E18" s="20" t="inlineStr">
        <is>
          <t>6606996</t>
        </is>
      </c>
    </row>
    <row r="19">
      <c r="A19" s="28" t="n">
        <v>131277</v>
      </c>
      <c r="B19" s="2" t="inlineStr">
        <is>
          <t>QATAR NATIONAL BANK QPSC COMMON STOCK QAR 1</t>
        </is>
      </c>
      <c r="C19" s="18" t="n">
        <v>432026.6</v>
      </c>
      <c r="D19" s="19">
        <f>C19/$C$118</f>
        <v/>
      </c>
      <c r="E19" s="20" t="inlineStr">
        <is>
          <t>6148197</t>
        </is>
      </c>
    </row>
    <row r="20">
      <c r="A20" s="28" t="n">
        <v>47354</v>
      </c>
      <c r="B20" s="2" t="inlineStr">
        <is>
          <t>STANDARD BANK GROUP LTD COMMON STOCK ZAR 10</t>
        </is>
      </c>
      <c r="C20" s="18" t="n">
        <v>380710.87</v>
      </c>
      <c r="D20" s="19">
        <f>C20/$C$118</f>
        <v/>
      </c>
      <c r="E20" s="20" t="inlineStr">
        <is>
          <t>B030GJ7</t>
        </is>
      </c>
    </row>
    <row r="21">
      <c r="A21" s="28" t="n">
        <v>244040</v>
      </c>
      <c r="B21" s="2" t="inlineStr">
        <is>
          <t>EMAAR PROPERTIES PJSC COMMON STOCK AED 1</t>
        </is>
      </c>
      <c r="C21" s="18" t="n">
        <v>366306.24</v>
      </c>
      <c r="D21" s="19">
        <f>C21/$C$118</f>
        <v/>
      </c>
      <c r="E21" s="20" t="inlineStr">
        <is>
          <t>B01RM25</t>
        </is>
      </c>
    </row>
    <row r="22">
      <c r="A22" s="28" t="n">
        <v>31177</v>
      </c>
      <c r="B22" s="2" t="inlineStr">
        <is>
          <t>GOLD FIELDS LTD COMMON STOCK ZAR 50</t>
        </is>
      </c>
      <c r="C22" s="18" t="n">
        <v>340531.22</v>
      </c>
      <c r="D22" s="19">
        <f>C22/$C$118</f>
        <v/>
      </c>
      <c r="E22" s="20" t="inlineStr">
        <is>
          <t>6280215</t>
        </is>
      </c>
    </row>
    <row r="23">
      <c r="A23" s="28" t="n">
        <v>18315</v>
      </c>
      <c r="B23" s="2" t="inlineStr">
        <is>
          <t>BID CORP LTD COMMON STOCK ZAR</t>
        </is>
      </c>
      <c r="C23" s="18" t="n">
        <v>318332.7</v>
      </c>
      <c r="D23" s="19">
        <f>C23/$C$118</f>
        <v/>
      </c>
      <c r="E23" s="20" t="inlineStr">
        <is>
          <t>BZBFKT7</t>
        </is>
      </c>
    </row>
    <row r="24">
      <c r="A24" s="28" t="n">
        <v>43770</v>
      </c>
      <c r="B24" s="2" t="inlineStr">
        <is>
          <t>ALINMA BANK COMMON STOCK SAR 10</t>
        </is>
      </c>
      <c r="C24" s="18" t="n">
        <v>316325.37</v>
      </c>
      <c r="D24" s="19">
        <f>C24/$C$118</f>
        <v/>
      </c>
      <c r="E24" s="20" t="inlineStr">
        <is>
          <t>B39NWT3</t>
        </is>
      </c>
    </row>
    <row r="25">
      <c r="A25" s="28" t="n">
        <v>30074</v>
      </c>
      <c r="B25" s="2" t="inlineStr">
        <is>
          <t>SHOPRITE HOLDINGS LTD COMMON STOCK ZAR 113.4</t>
        </is>
      </c>
      <c r="C25" s="18" t="n">
        <v>315739.36</v>
      </c>
      <c r="D25" s="19">
        <f>C25/$C$118</f>
        <v/>
      </c>
      <c r="E25" s="20" t="inlineStr">
        <is>
          <t>6801575</t>
        </is>
      </c>
    </row>
    <row r="26">
      <c r="A26" s="28" t="n">
        <v>81600</v>
      </c>
      <c r="B26" s="2" t="inlineStr">
        <is>
          <t>EMIRATES NBD BANK PJSC COMMON STOCK AED 1</t>
        </is>
      </c>
      <c r="C26" s="18" t="n">
        <v>310325.2</v>
      </c>
      <c r="D26" s="19">
        <f>C26/$C$118</f>
        <v/>
      </c>
      <c r="E26" s="20" t="inlineStr">
        <is>
          <t>B28PFX8</t>
        </is>
      </c>
    </row>
    <row r="27">
      <c r="A27" s="28" t="n">
        <v>362649</v>
      </c>
      <c r="B27" s="2" t="inlineStr">
        <is>
          <t>LUKOIL PJSC COMMON STOCK RUB 0.025 RUB</t>
        </is>
      </c>
      <c r="C27" s="18" t="n">
        <v>164591.36</v>
      </c>
      <c r="D27" s="19">
        <f>C27/$C$118</f>
        <v/>
      </c>
      <c r="E27" s="20" t="inlineStr">
        <is>
          <t>2H6442S</t>
        </is>
      </c>
    </row>
    <row r="28">
      <c r="A28" s="28" t="n">
        <v>262047</v>
      </c>
      <c r="B28" s="2" t="inlineStr">
        <is>
          <t>LUKOIL PJSC COMMON STOCK RUB</t>
        </is>
      </c>
      <c r="C28" s="18" t="n">
        <v>134665.92</v>
      </c>
      <c r="D28" s="19">
        <f>C28/$C$118</f>
        <v/>
      </c>
      <c r="E28" s="20" t="inlineStr">
        <is>
          <t>0H5797S</t>
        </is>
      </c>
    </row>
    <row r="29">
      <c r="A29" s="30" t="n"/>
      <c r="B29" s="27" t="inlineStr">
        <is>
          <t>Subtotal</t>
        </is>
      </c>
      <c r="C29" s="29">
        <f>+C28+C27</f>
        <v/>
      </c>
      <c r="D29" s="31">
        <f>C29/$C$118</f>
        <v/>
      </c>
      <c r="E29" s="34" t="n"/>
    </row>
    <row r="30">
      <c r="A30" s="28" t="n">
        <v>22972</v>
      </c>
      <c r="B30" s="2" t="inlineStr">
        <is>
          <t>CLICKS GROUP LTD COMMON STOCK ZAR 1</t>
        </is>
      </c>
      <c r="C30" s="18" t="n">
        <v>277339.19</v>
      </c>
      <c r="D30" s="19">
        <f>C30/$C$118</f>
        <v/>
      </c>
      <c r="E30" s="20" t="inlineStr">
        <is>
          <t>6105578</t>
        </is>
      </c>
    </row>
    <row r="31">
      <c r="A31" s="28" t="n">
        <v>95185</v>
      </c>
      <c r="B31" s="2" t="inlineStr">
        <is>
          <t>SANLAM LTD COMMON STOCK ZAR 1</t>
        </is>
      </c>
      <c r="C31" s="18" t="n">
        <v>273524.13</v>
      </c>
      <c r="D31" s="19">
        <f>C31/$C$118</f>
        <v/>
      </c>
      <c r="E31" s="20" t="inlineStr">
        <is>
          <t>B0L6750</t>
        </is>
      </c>
    </row>
    <row r="32">
      <c r="A32" s="41" t="n">
        <v>226609</v>
      </c>
      <c r="B32" s="2" t="inlineStr">
        <is>
          <t>ALDAR PROPERTIES PJSC COMMON STOCK AED 1</t>
        </is>
      </c>
      <c r="C32" s="18" t="n">
        <v>263877.1</v>
      </c>
      <c r="D32" s="19">
        <f>C32/$C$118</f>
        <v/>
      </c>
      <c r="E32" s="20" t="inlineStr">
        <is>
          <t>B0LX3Y2</t>
        </is>
      </c>
    </row>
    <row r="33">
      <c r="A33" s="28" t="n">
        <v>35367</v>
      </c>
      <c r="B33" s="2" t="inlineStr">
        <is>
          <t>ABSA GROUP LTD</t>
        </is>
      </c>
      <c r="C33" s="18" t="n">
        <v>263133.14</v>
      </c>
      <c r="D33" s="19">
        <f>C33/$C$118</f>
        <v/>
      </c>
      <c r="E33" s="38" t="inlineStr">
        <is>
          <t>BFX05H3</t>
        </is>
      </c>
    </row>
    <row r="34">
      <c r="A34" s="28" t="n">
        <v>11953</v>
      </c>
      <c r="B34" s="2" t="inlineStr">
        <is>
          <t>JUMBO SA COMMON STOCK EUR 0.88</t>
        </is>
      </c>
      <c r="C34" s="18" t="n">
        <v>258839.85</v>
      </c>
      <c r="D34" s="19">
        <f>C34/$C$118</f>
        <v/>
      </c>
      <c r="E34" s="38" t="inlineStr">
        <is>
          <t>7243530</t>
        </is>
      </c>
    </row>
    <row r="35">
      <c r="A35" s="28" t="n">
        <v>24260</v>
      </c>
      <c r="B35" s="2" t="inlineStr">
        <is>
          <t>HALYK SAVINGS BANK OF KAZAKHSTAN JSC GDR USD</t>
        </is>
      </c>
      <c r="C35" s="18" t="n">
        <v>249907.29</v>
      </c>
      <c r="D35" s="19">
        <f>C35/$C$118</f>
        <v/>
      </c>
      <c r="E35" s="38" t="inlineStr">
        <is>
          <t>B1KDG41</t>
        </is>
      </c>
    </row>
    <row r="36">
      <c r="A36" s="28" t="n">
        <v>7889</v>
      </c>
      <c r="B36" s="2" t="inlineStr">
        <is>
          <t>OTP BANK NYRT COMMON STOCK HUF 100</t>
        </is>
      </c>
      <c r="C36" s="18" t="n">
        <v>241744.85</v>
      </c>
      <c r="D36" s="19">
        <f>C36/$C$118</f>
        <v/>
      </c>
      <c r="E36" s="38" t="inlineStr">
        <is>
          <t>7320154</t>
        </is>
      </c>
    </row>
    <row r="37">
      <c r="A37" s="28" t="n">
        <v>8860909</v>
      </c>
      <c r="B37" s="2" t="inlineStr">
        <is>
          <t>GAZPROM PJSC COMMON STOCK RUB</t>
        </is>
      </c>
      <c r="C37" s="18" t="n">
        <v>210295.89</v>
      </c>
      <c r="D37" s="19">
        <f>C37/$C$118</f>
        <v/>
      </c>
      <c r="E37" s="38" t="inlineStr">
        <is>
          <t>0H5796S</t>
        </is>
      </c>
    </row>
    <row r="38">
      <c r="A38" s="28" t="n">
        <v>5365084</v>
      </c>
      <c r="B38" s="2" t="inlineStr">
        <is>
          <t>GAZPROM PJSC ADR</t>
        </is>
      </c>
      <c r="C38" s="18" t="n">
        <v>25705.71</v>
      </c>
      <c r="D38" s="19">
        <f>C38/$C$118</f>
        <v/>
      </c>
      <c r="E38" s="20" t="inlineStr">
        <is>
          <t>0H6364S</t>
        </is>
      </c>
    </row>
    <row r="39">
      <c r="A39" s="30" t="n"/>
      <c r="B39" s="27" t="inlineStr">
        <is>
          <t>Subtotal</t>
        </is>
      </c>
      <c r="C39" s="29">
        <f>+C38+C37</f>
        <v/>
      </c>
      <c r="D39" s="31">
        <f>C39/$C$118</f>
        <v/>
      </c>
      <c r="E39" s="34" t="n"/>
    </row>
    <row r="40">
      <c r="A40" s="41" t="n">
        <v>13843</v>
      </c>
      <c r="B40" s="2" t="inlineStr">
        <is>
          <t>SAUDI BASIC INDUSTRIES CORP COMMON STOCK SAR 10</t>
        </is>
      </c>
      <c r="C40" s="18" t="n">
        <v>234143.73</v>
      </c>
      <c r="D40" s="19">
        <f>C40/$C$118</f>
        <v/>
      </c>
      <c r="E40" s="20" t="inlineStr">
        <is>
          <t>B1324D0</t>
        </is>
      </c>
    </row>
    <row r="41">
      <c r="A41" s="41" t="n">
        <v>11566</v>
      </c>
      <c r="B41" s="2" t="inlineStr">
        <is>
          <t>MOTOR OIL HELLAS CORINTH REFINERIES SA COMMON STOCK EUR 0.75</t>
        </is>
      </c>
      <c r="C41" s="18" t="n">
        <v>226481.43</v>
      </c>
      <c r="D41" s="19">
        <f>C41/$C$118</f>
        <v/>
      </c>
      <c r="E41" s="20" t="inlineStr">
        <is>
          <t>5996234</t>
        </is>
      </c>
    </row>
    <row r="42">
      <c r="A42" s="41" t="n">
        <v>38596</v>
      </c>
      <c r="B42" s="2" t="inlineStr">
        <is>
          <t>RIYAD BANK COMMON STOCK SAR 10</t>
        </is>
      </c>
      <c r="C42" s="18" t="n">
        <v>222976.78</v>
      </c>
      <c r="D42" s="19">
        <f>C42/$C$118</f>
        <v/>
      </c>
      <c r="E42" s="20" t="inlineStr">
        <is>
          <t>B12LZW4</t>
        </is>
      </c>
    </row>
    <row r="43">
      <c r="A43" s="41" t="n">
        <v>123763</v>
      </c>
      <c r="B43" s="2" t="inlineStr">
        <is>
          <t>ABU DHABI COMMERCIAL BANK PJSC COMMON STOCK AED 1</t>
        </is>
      </c>
      <c r="C43" s="18" t="n">
        <v>222145.74</v>
      </c>
      <c r="D43" s="19">
        <f>C43/$C$118</f>
        <v/>
      </c>
      <c r="E43" s="20" t="inlineStr">
        <is>
          <t>6545464</t>
        </is>
      </c>
    </row>
    <row r="44">
      <c r="A44" s="41" t="n">
        <v>14455036</v>
      </c>
      <c r="B44" s="2" t="inlineStr">
        <is>
          <t>SBERBANK OF RUSSIA PJSC PREFERENCE RUB 3</t>
        </is>
      </c>
      <c r="C44" s="18" t="n">
        <v>189247.15</v>
      </c>
      <c r="D44" s="19">
        <f>C44/$C$118</f>
        <v/>
      </c>
      <c r="E44" s="20" t="inlineStr">
        <is>
          <t>0H5856S</t>
        </is>
      </c>
    </row>
    <row r="45">
      <c r="A45" s="28" t="n">
        <v>2355925</v>
      </c>
      <c r="B45" s="2" t="inlineStr">
        <is>
          <t>SBERBANK OF RUSSIA PJSC</t>
        </is>
      </c>
      <c r="C45" s="18" t="n">
        <v>30621.15</v>
      </c>
      <c r="D45" s="19">
        <f>C45/$C$118</f>
        <v/>
      </c>
      <c r="E45" s="20" t="inlineStr">
        <is>
          <t>0H5855S</t>
        </is>
      </c>
    </row>
    <row r="46">
      <c r="A46" s="30" t="n"/>
      <c r="B46" s="27" t="inlineStr">
        <is>
          <t>Subtotal</t>
        </is>
      </c>
      <c r="C46" s="29">
        <f>+C45+C44</f>
        <v/>
      </c>
      <c r="D46" s="31">
        <f>C46/$C$118</f>
        <v/>
      </c>
      <c r="E46" s="34" t="n"/>
    </row>
    <row r="47">
      <c r="A47" s="28" t="n">
        <v>13785</v>
      </c>
      <c r="B47" s="2" t="inlineStr">
        <is>
          <t>ANGLOGOLD ASHANTI PLC ZAR</t>
        </is>
      </c>
      <c r="C47" s="18" t="n">
        <v>208758.73</v>
      </c>
      <c r="D47" s="19">
        <f>C47/$C$118</f>
        <v/>
      </c>
      <c r="E47" s="20" t="inlineStr">
        <is>
          <t>BRF6FX9</t>
        </is>
      </c>
    </row>
    <row r="48">
      <c r="A48" s="28" t="n">
        <v>6125</v>
      </c>
      <c r="B48" s="2" t="inlineStr">
        <is>
          <t>LEEJAM SPORTS CO JSC COMMON STOCK SAR 10</t>
        </is>
      </c>
      <c r="C48" s="18" t="n">
        <v>205584.81</v>
      </c>
      <c r="D48" s="19">
        <f>C48/$C$118</f>
        <v/>
      </c>
      <c r="E48" s="20" t="inlineStr">
        <is>
          <t>BF12ZV5</t>
        </is>
      </c>
    </row>
    <row r="49">
      <c r="A49" s="28" t="n">
        <v>250715</v>
      </c>
      <c r="B49" s="2" t="inlineStr">
        <is>
          <t>ADNOC DRILLING CO PJSC COMMON STOCK AED</t>
        </is>
      </c>
      <c r="C49" s="18" t="n">
        <v>204757.06</v>
      </c>
      <c r="D49" s="19">
        <f>C49/$C$118</f>
        <v/>
      </c>
      <c r="E49" s="20" t="inlineStr">
        <is>
          <t>BN12D39</t>
        </is>
      </c>
    </row>
    <row r="50">
      <c r="A50" s="28" t="n">
        <v>30929</v>
      </c>
      <c r="B50" s="2" t="inlineStr">
        <is>
          <t>MOL HUNGARIAN OIL &amp; GAS PLC COMMON STOCK HUF 125</t>
        </is>
      </c>
      <c r="C50" s="18" t="n">
        <v>202499.68</v>
      </c>
      <c r="D50" s="19">
        <f>C50/$C$118</f>
        <v/>
      </c>
      <c r="E50" s="20" t="inlineStr">
        <is>
          <t>BD5ZXH8</t>
        </is>
      </c>
    </row>
    <row r="51">
      <c r="A51" s="28" t="n">
        <v>7421</v>
      </c>
      <c r="B51" s="2" t="inlineStr">
        <is>
          <t>TBC BANK GROUP PLC COMMON STOCK GBP 1</t>
        </is>
      </c>
      <c r="C51" s="18" t="n">
        <v>199253.85</v>
      </c>
      <c r="D51" s="19">
        <f>C51/$C$118</f>
        <v/>
      </c>
      <c r="E51" s="20" t="inlineStr">
        <is>
          <t>BYT1830</t>
        </is>
      </c>
    </row>
    <row r="52">
      <c r="A52" s="28" t="n">
        <v>71649</v>
      </c>
      <c r="B52" s="2" t="inlineStr">
        <is>
          <t>INDUSTRIES QATAR QSC COMMON STOCK QAR 1</t>
        </is>
      </c>
      <c r="C52" s="18" t="n">
        <v>196548.7</v>
      </c>
      <c r="D52" s="19">
        <f>C52/$C$118</f>
        <v/>
      </c>
      <c r="E52" s="20" t="inlineStr">
        <is>
          <t>6673570</t>
        </is>
      </c>
    </row>
    <row r="53">
      <c r="A53" s="28" t="n">
        <v>19263</v>
      </c>
      <c r="B53" s="2" t="inlineStr">
        <is>
          <t>ETIHAD ETISALAT CO COMMON STOCK SAR 10</t>
        </is>
      </c>
      <c r="C53" s="18" t="n">
        <v>194856.61</v>
      </c>
      <c r="D53" s="19">
        <f>C53/$C$118</f>
        <v/>
      </c>
      <c r="E53" s="20" t="inlineStr">
        <is>
          <t>B12LR51</t>
        </is>
      </c>
    </row>
    <row r="54">
      <c r="A54" s="28" t="n">
        <v>16665</v>
      </c>
      <c r="B54" s="2" t="inlineStr">
        <is>
          <t>BIDVEST GROUP LTD/THE COMMON STOCK ZAR 5</t>
        </is>
      </c>
      <c r="C54" s="18" t="n">
        <v>193261.44</v>
      </c>
      <c r="D54" s="19">
        <f>C54/$C$118</f>
        <v/>
      </c>
      <c r="E54" s="20" t="inlineStr">
        <is>
          <t>6100089</t>
        </is>
      </c>
    </row>
    <row r="55">
      <c r="A55" s="28" t="n">
        <v>4813</v>
      </c>
      <c r="B55" s="2" t="inlineStr">
        <is>
          <t>ARABIAN DRILLING CO COMMON STOCK SAR 10</t>
        </is>
      </c>
      <c r="C55" s="18" t="n">
        <v>185018.64</v>
      </c>
      <c r="D55" s="19">
        <f>C55/$C$118</f>
        <v/>
      </c>
      <c r="E55" s="20" t="inlineStr">
        <is>
          <t>BPNZYP9</t>
        </is>
      </c>
    </row>
    <row r="56">
      <c r="A56" s="28" t="n">
        <v>11272</v>
      </c>
      <c r="B56" s="2" t="inlineStr">
        <is>
          <t>RIYADH CABLES GROUP CO COMMON STOCK SAR 10</t>
        </is>
      </c>
      <c r="C56" s="18" t="n">
        <v>181248.18</v>
      </c>
      <c r="D56" s="19">
        <f>C56/$C$118</f>
        <v/>
      </c>
      <c r="E56" s="20" t="inlineStr">
        <is>
          <t>BNBPXW7</t>
        </is>
      </c>
    </row>
    <row r="57">
      <c r="A57" s="28" t="n">
        <v>40456</v>
      </c>
      <c r="B57" s="2" t="inlineStr">
        <is>
          <t>VODACOM GROUP LTD COMMON STOCK ZAR</t>
        </is>
      </c>
      <c r="C57" s="18" t="n">
        <v>180366.22</v>
      </c>
      <c r="D57" s="19">
        <f>C57/$C$118</f>
        <v/>
      </c>
      <c r="E57" s="20" t="inlineStr">
        <is>
          <t>B65B4D0</t>
        </is>
      </c>
    </row>
    <row r="58">
      <c r="A58" s="28" t="n">
        <v>144384</v>
      </c>
      <c r="B58" s="2" t="inlineStr">
        <is>
          <t>DUBAI ISLAMIC BANK PJSC COMMON STOCK AED 1</t>
        </is>
      </c>
      <c r="C58" s="18" t="n">
        <v>174932.3</v>
      </c>
      <c r="D58" s="19">
        <f>C58/$C$118</f>
        <v/>
      </c>
      <c r="E58" s="20" t="inlineStr">
        <is>
          <t>6283452</t>
        </is>
      </c>
    </row>
    <row r="59">
      <c r="A59" s="28" t="n">
        <v>1892</v>
      </c>
      <c r="B59" s="2" t="inlineStr">
        <is>
          <t>KRUK SA COMMON STOCK PLN 1</t>
        </is>
      </c>
      <c r="C59" s="18" t="n">
        <v>172199.18</v>
      </c>
      <c r="D59" s="19">
        <f>C59/$C$118</f>
        <v/>
      </c>
      <c r="E59" s="20" t="inlineStr">
        <is>
          <t>B4PTLY0</t>
        </is>
      </c>
    </row>
    <row r="60">
      <c r="A60" s="28" t="n">
        <v>5598</v>
      </c>
      <c r="B60" s="2" t="inlineStr">
        <is>
          <t>MYTILINEOS SA COMMON STOCK EUR 0.97</t>
        </is>
      </c>
      <c r="C60" s="18" t="n">
        <v>170571.24</v>
      </c>
      <c r="D60" s="19">
        <f>C60/$C$118</f>
        <v/>
      </c>
      <c r="E60" s="20" t="inlineStr">
        <is>
          <t>5898664</t>
        </is>
      </c>
    </row>
    <row r="61">
      <c r="A61" s="28" t="n">
        <v>3798</v>
      </c>
      <c r="B61" s="2" t="inlineStr">
        <is>
          <t>ARABIAN CONTRACTING SERVICES CO COMMON STOCK SAR</t>
        </is>
      </c>
      <c r="C61" s="18" t="n">
        <v>168025.82</v>
      </c>
      <c r="D61" s="19">
        <f>C61/$C$118</f>
        <v/>
      </c>
      <c r="E61" s="20" t="inlineStr">
        <is>
          <t>BP4DC81</t>
        </is>
      </c>
    </row>
    <row r="62">
      <c r="A62" s="28" t="n">
        <v>7386</v>
      </c>
      <c r="B62" s="2" t="inlineStr">
        <is>
          <t>MOUWASAT MEDICAL SERVICES CO COMMON STOCK SAR 10</t>
        </is>
      </c>
      <c r="C62" s="18" t="n">
        <v>162082.59</v>
      </c>
      <c r="D62" s="19">
        <f>C62/$C$118</f>
        <v/>
      </c>
      <c r="E62" s="20" t="inlineStr">
        <is>
          <t>B403QG4</t>
        </is>
      </c>
    </row>
    <row r="63">
      <c r="A63" s="28" t="n">
        <v>39150</v>
      </c>
      <c r="B63" s="2" t="inlineStr">
        <is>
          <t>ADES HOLDING CO COMMON STOCK SAR 1</t>
        </is>
      </c>
      <c r="C63" s="18" t="n">
        <v>159442.13</v>
      </c>
      <c r="D63" s="19">
        <f>C63/$C$118</f>
        <v/>
      </c>
      <c r="E63" s="20" t="inlineStr">
        <is>
          <t>BR56KM3</t>
        </is>
      </c>
    </row>
    <row r="64">
      <c r="A64" s="28" t="n">
        <v>1033</v>
      </c>
      <c r="B64" s="2" t="inlineStr">
        <is>
          <t>ELM CO COMMON STOCK SAR 10</t>
        </is>
      </c>
      <c r="C64" s="18" t="n">
        <v>159112.32</v>
      </c>
      <c r="D64" s="19">
        <f>C64/$C$118</f>
        <v/>
      </c>
      <c r="E64" s="20" t="inlineStr">
        <is>
          <t>BNYDSH8</t>
        </is>
      </c>
    </row>
    <row r="65">
      <c r="A65" s="28" t="n">
        <v>49840</v>
      </c>
      <c r="B65" s="2" t="inlineStr">
        <is>
          <t>JARIR MARKETING CO COMMON STOCK SAR 1</t>
        </is>
      </c>
      <c r="C65" s="18" t="n">
        <v>158309.84</v>
      </c>
      <c r="D65" s="19">
        <f>C65/$C$118</f>
        <v/>
      </c>
      <c r="E65" s="20" t="inlineStr">
        <is>
          <t>B128FM5</t>
        </is>
      </c>
    </row>
    <row r="66">
      <c r="A66" s="28" t="n">
        <v>22211</v>
      </c>
      <c r="B66" s="2" t="inlineStr">
        <is>
          <t>SAHARA INTERNATIONAL PETROCHEMICAL CO COMMON STOCK SAR 10</t>
        </is>
      </c>
      <c r="C66" s="18" t="n">
        <v>157347.34</v>
      </c>
      <c r="D66" s="19">
        <f>C66/$C$118</f>
        <v/>
      </c>
      <c r="E66" s="20" t="inlineStr">
        <is>
          <t>B1C1NH5</t>
        </is>
      </c>
    </row>
    <row r="67">
      <c r="A67" s="28" t="n">
        <v>11282</v>
      </c>
      <c r="B67" s="2" t="inlineStr">
        <is>
          <t>OPAP SA COMMON STOCK EUR 0.3</t>
        </is>
      </c>
      <c r="C67" s="18" t="n">
        <v>157238.6</v>
      </c>
      <c r="D67" s="19">
        <f>C67/$C$118</f>
        <v/>
      </c>
      <c r="E67" s="20" t="inlineStr">
        <is>
          <t>7107250</t>
        </is>
      </c>
    </row>
    <row r="68">
      <c r="A68" s="28" t="n">
        <v>300201</v>
      </c>
      <c r="B68" s="2" t="inlineStr">
        <is>
          <t>OLD MUTUAL LTD COMMON STOCK ZAR</t>
        </is>
      </c>
      <c r="C68" s="18" t="n">
        <v>156379.25</v>
      </c>
      <c r="D68" s="19">
        <f>C68/$C$118</f>
        <v/>
      </c>
      <c r="E68" s="20" t="inlineStr">
        <is>
          <t>BDVPYN5</t>
        </is>
      </c>
    </row>
    <row r="69">
      <c r="A69" s="28" t="n">
        <v>292031</v>
      </c>
      <c r="B69" s="2" t="inlineStr">
        <is>
          <t>DUBAI ELECTRICITY &amp; WATER AU</t>
        </is>
      </c>
      <c r="C69" s="18" t="n">
        <v>155942</v>
      </c>
      <c r="D69" s="19">
        <f>C69/$C$118</f>
        <v/>
      </c>
      <c r="E69" s="20" t="inlineStr">
        <is>
          <t>BJLTVJ4</t>
        </is>
      </c>
    </row>
    <row r="70">
      <c r="A70" s="28" t="n">
        <v>1268490</v>
      </c>
      <c r="B70" s="2" t="inlineStr">
        <is>
          <t>NOVATEK PJSC COMMON STOCK RUB 0.1</t>
        </is>
      </c>
      <c r="C70" s="18" t="n">
        <v>141764.32</v>
      </c>
      <c r="D70" s="19">
        <f>C70/$C$118</f>
        <v/>
      </c>
      <c r="E70" s="20" t="inlineStr">
        <is>
          <t>2H6464S</t>
        </is>
      </c>
    </row>
    <row r="71">
      <c r="A71" s="28" t="n">
        <v>103572</v>
      </c>
      <c r="B71" s="2" t="inlineStr">
        <is>
          <t>NOVATEK PJSC COMMON STOCK RUB 0.1</t>
        </is>
      </c>
      <c r="C71" s="18" t="n">
        <v>13106.3</v>
      </c>
      <c r="D71" s="19">
        <f>C71/$C$118</f>
        <v/>
      </c>
      <c r="E71" s="20" t="inlineStr">
        <is>
          <t>0H5828S</t>
        </is>
      </c>
    </row>
    <row r="72">
      <c r="A72" s="30" t="n"/>
      <c r="B72" s="27" t="inlineStr">
        <is>
          <t>Subtotal</t>
        </is>
      </c>
      <c r="C72" s="29">
        <f>+C71+C70</f>
        <v/>
      </c>
      <c r="D72" s="31">
        <f>C72/$C$118</f>
        <v/>
      </c>
      <c r="E72" s="34" t="n"/>
    </row>
    <row r="73">
      <c r="A73" s="28" t="n">
        <v>66726</v>
      </c>
      <c r="B73" s="2" t="inlineStr">
        <is>
          <t>ABU DHABI ISLAMIC BANK PJSC COMMON STOCK AED 1</t>
        </is>
      </c>
      <c r="C73" s="18" t="n">
        <v>152105.87</v>
      </c>
      <c r="D73" s="19">
        <f>C73/$C$118</f>
        <v/>
      </c>
      <c r="E73" s="20" t="inlineStr">
        <is>
          <t>6001728</t>
        </is>
      </c>
    </row>
    <row r="74">
      <c r="A74" s="28" t="n">
        <v>196322</v>
      </c>
      <c r="B74" s="2" t="inlineStr">
        <is>
          <t>QATAR GAS TRANSPORT CO LTD COMMON STOCK QAR 1</t>
        </is>
      </c>
      <c r="C74" s="18" t="n">
        <v>150412.9</v>
      </c>
      <c r="D74" s="19">
        <f>C74/$C$118</f>
        <v/>
      </c>
      <c r="E74" s="20" t="inlineStr">
        <is>
          <t>B0MLBC9</t>
        </is>
      </c>
    </row>
    <row r="75">
      <c r="A75" s="28" t="n">
        <v>20423</v>
      </c>
      <c r="B75" s="2" t="inlineStr">
        <is>
          <t>SAUDI AWWAL BANK COMMON STOCK SAR 10</t>
        </is>
      </c>
      <c r="C75" s="18" t="n">
        <v>150064.25</v>
      </c>
      <c r="D75" s="19">
        <f>C75/$C$118</f>
        <v/>
      </c>
      <c r="E75" s="20" t="inlineStr">
        <is>
          <t>B12LSY7</t>
        </is>
      </c>
    </row>
    <row r="76">
      <c r="A76" s="28" t="n">
        <v>18372</v>
      </c>
      <c r="B76" s="2" t="inlineStr">
        <is>
          <t>HUMANSOFT HOLDING CO KSC COMMON STOCK KWD 100</t>
        </is>
      </c>
      <c r="C76" s="18" t="n">
        <v>148688.48</v>
      </c>
      <c r="D76" s="19">
        <f>C76/$C$118</f>
        <v/>
      </c>
      <c r="E76" s="20" t="inlineStr">
        <is>
          <t>B13BYX7</t>
        </is>
      </c>
    </row>
    <row r="77">
      <c r="A77" s="28" t="n">
        <v>12548</v>
      </c>
      <c r="B77" s="2" t="inlineStr">
        <is>
          <t>HELLENIC TELECOMMUNICATIONS ORGANIZATION SA COMMON STOCK EUR 2.83</t>
        </is>
      </c>
      <c r="C77" s="18" t="n">
        <v>144606.38</v>
      </c>
      <c r="D77" s="19">
        <f>C77/$C$118</f>
        <v/>
      </c>
      <c r="E77" s="20" t="inlineStr">
        <is>
          <t>5051605</t>
        </is>
      </c>
    </row>
    <row r="78">
      <c r="A78" s="28" t="n">
        <v>36992</v>
      </c>
      <c r="B78" s="2" t="inlineStr">
        <is>
          <t>BANCA TRANSILVANIA SA COMMON STOCK RON 1</t>
        </is>
      </c>
      <c r="C78" s="18" t="n">
        <v>143484.68</v>
      </c>
      <c r="D78" s="19">
        <f>C78/$C$118</f>
        <v/>
      </c>
      <c r="E78" s="20" t="inlineStr">
        <is>
          <t>5393307</t>
        </is>
      </c>
    </row>
    <row r="79">
      <c r="A79" s="28" t="n">
        <v>9725</v>
      </c>
      <c r="B79" s="2" t="inlineStr">
        <is>
          <t>UNITED INTERNATIONAL TRANSPORTATION CO COMMON STOCK SAR 10</t>
        </is>
      </c>
      <c r="C79" s="18" t="n">
        <v>143342.08</v>
      </c>
      <c r="D79" s="19">
        <f>C79/$C$118</f>
        <v/>
      </c>
      <c r="E79" s="20" t="inlineStr">
        <is>
          <t>B2493D0</t>
        </is>
      </c>
    </row>
    <row r="80">
      <c r="A80" s="28" t="n">
        <v>71192</v>
      </c>
      <c r="B80" s="2" t="inlineStr">
        <is>
          <t>MMC NORILSK NICKEL PJSC COMMON STOCK RUB 1</t>
        </is>
      </c>
      <c r="C80" s="18" t="n">
        <v>141811.24</v>
      </c>
      <c r="D80" s="19">
        <f>C80/$C$118</f>
        <v/>
      </c>
      <c r="E80" s="20" t="inlineStr">
        <is>
          <t>0H5804S</t>
        </is>
      </c>
    </row>
    <row r="81">
      <c r="A81" s="28" t="n">
        <v>1902</v>
      </c>
      <c r="B81" s="2" t="inlineStr">
        <is>
          <t>JSC KASPI.KZ GDR-REG S</t>
        </is>
      </c>
      <c r="C81" s="18" t="n">
        <v>141539.08</v>
      </c>
      <c r="D81" s="19">
        <f>C81/$C$118</f>
        <v/>
      </c>
      <c r="E81" s="20" t="inlineStr">
        <is>
          <t>BMXZ8G7</t>
        </is>
      </c>
    </row>
    <row r="82">
      <c r="A82" s="28" t="n">
        <v>49360</v>
      </c>
      <c r="B82" s="2" t="inlineStr">
        <is>
          <t>FIRST ABU DHABI BANK PJSC COMMON STOCK AED 1</t>
        </is>
      </c>
      <c r="C82" s="18" t="n">
        <v>139541.34</v>
      </c>
      <c r="D82" s="19">
        <f>C82/$C$118</f>
        <v/>
      </c>
      <c r="E82" s="20" t="inlineStr">
        <is>
          <t>6624471</t>
        </is>
      </c>
    </row>
    <row r="83">
      <c r="A83" s="28" t="n">
        <v>78324</v>
      </c>
      <c r="B83" s="2" t="inlineStr">
        <is>
          <t>OUTSURANCE GROUP LTD COMMON STOCK ZAR 0.0001</t>
        </is>
      </c>
      <c r="C83" s="18" t="n">
        <v>138823.83</v>
      </c>
      <c r="D83" s="19">
        <f>C83/$C$118</f>
        <v/>
      </c>
      <c r="E83" s="20" t="inlineStr">
        <is>
          <t>BN6QSM0</t>
        </is>
      </c>
    </row>
    <row r="84">
      <c r="A84" s="28" t="n">
        <v>5652</v>
      </c>
      <c r="B84" s="2" t="inlineStr">
        <is>
          <t>KOMERCNI BANKA AS COMMON STOCK CZK 100</t>
        </is>
      </c>
      <c r="C84" s="18" t="n">
        <v>136004.22</v>
      </c>
      <c r="D84" s="19">
        <f>C84/$C$118</f>
        <v/>
      </c>
      <c r="E84" s="20" t="inlineStr">
        <is>
          <t>4519449</t>
        </is>
      </c>
    </row>
    <row r="85">
      <c r="A85" s="28" t="n">
        <v>187852</v>
      </c>
      <c r="B85" s="2" t="inlineStr">
        <is>
          <t>SALIK CO PJSC COMMON STOCK AED 0.01</t>
        </is>
      </c>
      <c r="C85" s="18" t="n">
        <v>134029.42</v>
      </c>
      <c r="D85" s="19">
        <f>C85/$C$118</f>
        <v/>
      </c>
      <c r="E85" s="20" t="inlineStr">
        <is>
          <t>BJN5952</t>
        </is>
      </c>
    </row>
    <row r="86">
      <c r="A86" s="28" t="n">
        <v>43702</v>
      </c>
      <c r="B86" s="2" t="inlineStr">
        <is>
          <t>WOOLWORTHS HOLDINGS LTD/SOUTH AFRICA COMMON STOCK ZAR 0</t>
        </is>
      </c>
      <c r="C86" s="18" t="n">
        <v>133305.13</v>
      </c>
      <c r="D86" s="19">
        <f>C86/$C$118</f>
        <v/>
      </c>
      <c r="E86" s="20" t="inlineStr">
        <is>
          <t>B06KZ97</t>
        </is>
      </c>
    </row>
    <row r="87">
      <c r="A87" s="28" t="n">
        <v>498960</v>
      </c>
      <c r="B87" s="2" t="inlineStr">
        <is>
          <t>AL ANSARI FINANCIAL SERVICES PJSC COMMON STOCK AED</t>
        </is>
      </c>
      <c r="C87" s="18" t="n">
        <v>127622.65</v>
      </c>
      <c r="D87" s="19">
        <f>C87/$C$118</f>
        <v/>
      </c>
      <c r="E87" s="20" t="inlineStr">
        <is>
          <t>BMWB101</t>
        </is>
      </c>
    </row>
    <row r="88">
      <c r="A88" s="28" t="n">
        <v>60427</v>
      </c>
      <c r="B88" s="2" t="inlineStr">
        <is>
          <t>OOREDOO QPSC COMMON STOCK QAR 1</t>
        </is>
      </c>
      <c r="C88" s="18" t="n">
        <v>127236.43</v>
      </c>
      <c r="D88" s="19">
        <f>C88/$C$118</f>
        <v/>
      </c>
      <c r="E88" s="20" t="inlineStr">
        <is>
          <t>6158174</t>
        </is>
      </c>
    </row>
    <row r="89">
      <c r="A89" s="28" t="n">
        <v>153691</v>
      </c>
      <c r="B89" s="2" t="inlineStr">
        <is>
          <t>ADNOC GAS PLC</t>
        </is>
      </c>
      <c r="C89" s="18" t="n">
        <v>110690.58</v>
      </c>
      <c r="D89" s="19">
        <f>C89/$C$118</f>
        <v/>
      </c>
      <c r="E89" s="20" t="inlineStr">
        <is>
          <t>BPJLW35</t>
        </is>
      </c>
    </row>
    <row r="90">
      <c r="A90" s="28" t="n">
        <v>24782</v>
      </c>
      <c r="B90" s="2" t="inlineStr">
        <is>
          <t>ARABIAN CENTRES CO LTD COMMON STOCK SAR 10</t>
        </is>
      </c>
      <c r="C90" s="18" t="n">
        <v>109092.69</v>
      </c>
      <c r="D90" s="19">
        <f>C90/$C$118</f>
        <v/>
      </c>
      <c r="E90" s="20" t="inlineStr">
        <is>
          <t>BKBF694</t>
        </is>
      </c>
    </row>
    <row r="91">
      <c r="A91" s="28" t="n">
        <v>2041744</v>
      </c>
      <c r="B91" s="2" t="inlineStr">
        <is>
          <t>ROSNEFT OIL CO PJSC COMMON STOCK RUB 0.01</t>
        </is>
      </c>
      <c r="C91" s="18" t="n">
        <v>62632.76</v>
      </c>
      <c r="D91" s="19">
        <f>C91/$C$118</f>
        <v/>
      </c>
      <c r="E91" s="20" t="inlineStr">
        <is>
          <t>0H5827S</t>
        </is>
      </c>
    </row>
    <row r="92">
      <c r="A92" s="28" t="n">
        <v>1677948</v>
      </c>
      <c r="B92" s="2" t="inlineStr">
        <is>
          <t>ROSNEFT OIL CO PJSC COMMON STOCK RUB</t>
        </is>
      </c>
      <c r="C92" s="18" t="n">
        <v>45514.26</v>
      </c>
      <c r="D92" s="19">
        <f>C92/$C$118</f>
        <v/>
      </c>
      <c r="E92" s="20" t="inlineStr">
        <is>
          <t>2H7674S</t>
        </is>
      </c>
    </row>
    <row r="93">
      <c r="A93" s="30" t="n"/>
      <c r="B93" s="27" t="inlineStr">
        <is>
          <t>Subtotal</t>
        </is>
      </c>
      <c r="C93" s="29">
        <f>+C92+C91</f>
        <v/>
      </c>
      <c r="D93" s="31">
        <f>C93/$C$118</f>
        <v/>
      </c>
      <c r="E93" s="34" t="n"/>
    </row>
    <row r="94">
      <c r="A94" s="28" t="n">
        <v>33462</v>
      </c>
      <c r="B94" s="2" t="inlineStr">
        <is>
          <t>AVI LTD COMMON STOCK ZAR 5</t>
        </is>
      </c>
      <c r="C94" s="18" t="n">
        <v>102319.9</v>
      </c>
      <c r="D94" s="19">
        <f>C94/$C$118</f>
        <v/>
      </c>
      <c r="E94" s="20" t="inlineStr">
        <is>
          <t>6040958</t>
        </is>
      </c>
    </row>
    <row r="95">
      <c r="A95" s="28" t="n">
        <v>133931</v>
      </c>
      <c r="B95" s="2" t="inlineStr">
        <is>
          <t>ADNOC LOGISTICS &amp; SERVICES COMMON STOCK AED</t>
        </is>
      </c>
      <c r="C95" s="18" t="n">
        <v>101267.06</v>
      </c>
      <c r="D95" s="19">
        <f>C95/$C$118</f>
        <v/>
      </c>
      <c r="E95" s="20" t="inlineStr">
        <is>
          <t>6H9334S</t>
        </is>
      </c>
    </row>
    <row r="96">
      <c r="A96" s="28" t="n">
        <v>3428</v>
      </c>
      <c r="B96" s="2" t="inlineStr">
        <is>
          <t>ALDREES PETROLEUM AND TRANSPORT SERVICES CO COMMON STOCK SAR 10</t>
        </is>
      </c>
      <c r="C96" s="18" t="n">
        <v>88403.71000000001</v>
      </c>
      <c r="D96" s="19">
        <f>C96/$C$118</f>
        <v/>
      </c>
      <c r="E96" s="20" t="inlineStr">
        <is>
          <t>B128FF8</t>
        </is>
      </c>
    </row>
    <row r="97">
      <c r="A97" s="28" t="n">
        <v>20379</v>
      </c>
      <c r="B97" s="2" t="inlineStr">
        <is>
          <t>MOTUS HOLDINGS LTD COMMON STOCK ZAR</t>
        </is>
      </c>
      <c r="C97" s="18" t="n">
        <v>82883.32000000001</v>
      </c>
      <c r="D97" s="19">
        <f>C97/$C$118</f>
        <v/>
      </c>
      <c r="E97" s="20" t="inlineStr">
        <is>
          <t>BDRN3H0</t>
        </is>
      </c>
    </row>
    <row r="98">
      <c r="A98" s="28" t="n">
        <v>3657350</v>
      </c>
      <c r="B98" s="2" t="inlineStr">
        <is>
          <t>NOVOLIPETSK STEEL PJSC COMMON STOCK RUB</t>
        </is>
      </c>
      <c r="C98" s="18" t="n">
        <v>60392.93</v>
      </c>
      <c r="D98" s="19">
        <f>C98/$C$118</f>
        <v/>
      </c>
      <c r="E98" s="20" t="inlineStr">
        <is>
          <t>2H7675S</t>
        </is>
      </c>
    </row>
    <row r="99">
      <c r="A99" s="28" t="n">
        <v>180877</v>
      </c>
      <c r="B99" s="2" t="inlineStr">
        <is>
          <t>MAGNIT PJSC COMMON STOCK RUB 0.01</t>
        </is>
      </c>
      <c r="C99" s="18" t="n">
        <v>55846.31</v>
      </c>
      <c r="D99" s="19">
        <f>C99/$C$118</f>
        <v/>
      </c>
      <c r="E99" s="20" t="inlineStr">
        <is>
          <t>0H5813S</t>
        </is>
      </c>
    </row>
    <row r="100">
      <c r="A100" s="28" t="n">
        <v>1265335</v>
      </c>
      <c r="B100" s="2" t="inlineStr">
        <is>
          <t>GAZPROM NEFT PJSC COMMON STOCK RUB</t>
        </is>
      </c>
      <c r="C100" s="18" t="n">
        <v>50466.52</v>
      </c>
      <c r="D100" s="19">
        <f>C100/$C$118</f>
        <v/>
      </c>
      <c r="E100" s="20" t="inlineStr">
        <is>
          <t>0H5803S</t>
        </is>
      </c>
    </row>
    <row r="101">
      <c r="A101" s="28" t="n">
        <v>730066</v>
      </c>
      <c r="B101" s="2" t="inlineStr">
        <is>
          <t>TATNEFT PJSC COMMON STOCK RUB</t>
        </is>
      </c>
      <c r="C101" s="18" t="n">
        <v>27293.14</v>
      </c>
      <c r="D101" s="19">
        <f>C101/$C$118</f>
        <v/>
      </c>
      <c r="E101" s="20" t="inlineStr">
        <is>
          <t>0H5822S</t>
        </is>
      </c>
    </row>
    <row r="102">
      <c r="A102" s="28" t="n">
        <v>571359</v>
      </c>
      <c r="B102" s="2" t="inlineStr">
        <is>
          <t>TATNEFT PJSC PREFERENCE RUB 1</t>
        </is>
      </c>
      <c r="C102" s="18" t="n">
        <v>18915.75</v>
      </c>
      <c r="D102" s="19">
        <f>C102/$C$118</f>
        <v/>
      </c>
      <c r="E102" s="20" t="inlineStr">
        <is>
          <t>0H5816S</t>
        </is>
      </c>
    </row>
    <row r="103">
      <c r="A103" s="30" t="n"/>
      <c r="B103" s="27" t="inlineStr">
        <is>
          <t>Subtotal</t>
        </is>
      </c>
      <c r="C103" s="29">
        <f>+C102+C101</f>
        <v/>
      </c>
      <c r="D103" s="31">
        <f>C103/$C$118</f>
        <v/>
      </c>
      <c r="E103" s="34" t="n"/>
    </row>
    <row r="104">
      <c r="A104" s="28" t="n">
        <v>6156103</v>
      </c>
      <c r="B104" s="2" t="inlineStr">
        <is>
          <t>ROSTELECOM PJSC COMMON STOCK RUB</t>
        </is>
      </c>
      <c r="C104" s="18" t="n">
        <v>43532.51</v>
      </c>
      <c r="D104" s="19">
        <f>C104/$C$118</f>
        <v/>
      </c>
      <c r="E104" s="20" t="inlineStr">
        <is>
          <t>0H5802S</t>
        </is>
      </c>
    </row>
    <row r="105">
      <c r="A105" s="28" t="n">
        <v>21233273216</v>
      </c>
      <c r="B105" s="2" t="inlineStr">
        <is>
          <t>VTB BANK PJSC COMMON STOCK RUB 0.01</t>
        </is>
      </c>
      <c r="C105" s="18" t="n">
        <v>41645.88</v>
      </c>
      <c r="D105" s="19">
        <f>C105/$C$118</f>
        <v/>
      </c>
      <c r="E105" s="20" t="inlineStr">
        <is>
          <t>0H5837S</t>
        </is>
      </c>
    </row>
    <row r="106">
      <c r="A106" s="28" t="n">
        <v>29773</v>
      </c>
      <c r="B106" s="2" t="inlineStr">
        <is>
          <t>POLYUS PJSC COMMON STOCK RUB</t>
        </is>
      </c>
      <c r="C106" s="18" t="n">
        <v>29167.68</v>
      </c>
      <c r="D106" s="19">
        <f>C106/$C$118</f>
        <v/>
      </c>
      <c r="E106" s="20" t="inlineStr">
        <is>
          <t>2H7182S</t>
        </is>
      </c>
    </row>
    <row r="107">
      <c r="A107" s="28" t="n">
        <v>169819</v>
      </c>
      <c r="B107" s="2" t="inlineStr">
        <is>
          <t>YANDEX NV COMMON STOCK USD 0.01</t>
        </is>
      </c>
      <c r="C107" s="18" t="n">
        <v>26506.01</v>
      </c>
      <c r="D107" s="19">
        <f>C107/$C$118</f>
        <v/>
      </c>
      <c r="E107" s="20" t="inlineStr">
        <is>
          <t>0H6379S</t>
        </is>
      </c>
    </row>
    <row r="108">
      <c r="A108" s="28" t="n">
        <v>432517</v>
      </c>
      <c r="B108" s="2" t="inlineStr">
        <is>
          <t>MD MEDICAL GROUP INVESTMENTS PLC GDR USD</t>
        </is>
      </c>
      <c r="C108" s="18" t="n">
        <v>20316.84</v>
      </c>
      <c r="D108" s="19">
        <f>C108/$C$118</f>
        <v/>
      </c>
      <c r="E108" s="20" t="inlineStr">
        <is>
          <t>0H6371S</t>
        </is>
      </c>
    </row>
    <row r="109">
      <c r="A109" s="28" t="n">
        <v>12313057</v>
      </c>
      <c r="B109" s="2" t="inlineStr">
        <is>
          <t>SISTEMA PJSFC COMMON STOCK RUB 0.09</t>
        </is>
      </c>
      <c r="C109" s="18" t="n">
        <v>15270.54</v>
      </c>
      <c r="D109" s="19">
        <f>C109/$C$118</f>
        <v/>
      </c>
      <c r="E109" s="20" t="inlineStr">
        <is>
          <t>0H5808S</t>
        </is>
      </c>
    </row>
    <row r="110">
      <c r="A110" s="28" t="n">
        <v>577525</v>
      </c>
      <c r="B110" s="2" t="inlineStr">
        <is>
          <t>FIX PRICE GROUP LTD GDR</t>
        </is>
      </c>
      <c r="C110" s="18" t="n">
        <v>4473.81</v>
      </c>
      <c r="D110" s="19">
        <f>C110/$C$118</f>
        <v/>
      </c>
      <c r="E110" s="20" t="inlineStr">
        <is>
          <t>0H6372S</t>
        </is>
      </c>
    </row>
    <row r="111">
      <c r="A111" s="28" t="n">
        <v>75226</v>
      </c>
      <c r="B111" s="2" t="inlineStr">
        <is>
          <t>TCS GROUP HOLDING PLC GDR</t>
        </is>
      </c>
      <c r="C111" s="18" t="n">
        <v>1979.46</v>
      </c>
      <c r="D111" s="19">
        <f>C111/$C$118</f>
        <v/>
      </c>
      <c r="E111" s="20" t="inlineStr">
        <is>
          <t>0H6380S</t>
        </is>
      </c>
    </row>
    <row r="112">
      <c r="A112" s="28" t="n">
        <v>275182</v>
      </c>
      <c r="B112" s="2" t="inlineStr">
        <is>
          <t>X 5 RETAIL GROUP NV-REGS GDR</t>
        </is>
      </c>
      <c r="C112" s="18" t="n">
        <v>1205.09</v>
      </c>
      <c r="D112" s="19">
        <f>C112/$C$118</f>
        <v/>
      </c>
      <c r="E112" s="20" t="inlineStr">
        <is>
          <t>0H6365S</t>
        </is>
      </c>
    </row>
    <row r="113">
      <c r="A113" s="28" t="n">
        <v>552780</v>
      </c>
      <c r="B113" s="2" t="inlineStr">
        <is>
          <t>SEVERSTAL PAO GDR USD</t>
        </is>
      </c>
      <c r="C113" s="18" t="n">
        <v>273.78</v>
      </c>
      <c r="D113" s="19">
        <f>C113/$C$118</f>
        <v/>
      </c>
      <c r="E113" s="20" t="inlineStr">
        <is>
          <t>0H6368S</t>
        </is>
      </c>
    </row>
    <row r="114">
      <c r="A114" s="28" t="n"/>
      <c r="C114" s="18" t="n"/>
      <c r="D114" s="19" t="n"/>
      <c r="E114" s="20" t="n"/>
    </row>
    <row r="115">
      <c r="A115" s="21" t="n"/>
      <c r="B115" s="21" t="inlineStr">
        <is>
          <t>Total portfolio</t>
        </is>
      </c>
      <c r="C115" s="39" t="n">
        <v>18370946.2</v>
      </c>
      <c r="D115" s="19">
        <f>C115/$C$118</f>
        <v/>
      </c>
    </row>
    <row r="116">
      <c r="B116" s="21" t="inlineStr">
        <is>
          <t>Net Current Assets</t>
        </is>
      </c>
      <c r="C116" s="39" t="n">
        <v>490846.65</v>
      </c>
      <c r="D116" s="19">
        <f>C116/$C$118</f>
        <v/>
      </c>
    </row>
    <row r="117">
      <c r="B117" s="3" t="n"/>
      <c r="C117" s="39" t="n"/>
      <c r="D117" s="32" t="n"/>
    </row>
    <row r="118">
      <c r="B118" s="21"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H125"/>
  <sheetViews>
    <sheetView workbookViewId="0">
      <selection activeCell="B12" sqref="B1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September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1000786.64</v>
      </c>
      <c r="B12" s="2" t="inlineStr">
        <is>
          <t>JPM GBP LIQUIDITY LVNAV X (DIST.)</t>
        </is>
      </c>
      <c r="C12" s="18" t="n">
        <v>1000786.64</v>
      </c>
      <c r="D12" s="19">
        <f>C12/$C$121</f>
        <v/>
      </c>
      <c r="E12" s="38" t="inlineStr">
        <is>
          <t>5819115</t>
        </is>
      </c>
      <c r="H12" s="40" t="n"/>
    </row>
    <row r="13">
      <c r="A13" s="28" t="n">
        <v>53763</v>
      </c>
      <c r="B13" s="2" t="inlineStr">
        <is>
          <t>AL RAJHI BANK COMMON STOCK SAR 10</t>
        </is>
      </c>
      <c r="C13" s="18" t="n">
        <v>797469.92</v>
      </c>
      <c r="D13" s="19">
        <f>C13/$C$121</f>
        <v/>
      </c>
      <c r="E13" s="38" t="inlineStr">
        <is>
          <t>B12LZH9</t>
        </is>
      </c>
      <c r="H13" s="40" t="n"/>
    </row>
    <row r="14">
      <c r="A14" s="28" t="n">
        <v>84432</v>
      </c>
      <c r="B14" s="2" t="inlineStr">
        <is>
          <t>SAUDI ARABIAN OIL CO COMMON STOCK SAR</t>
        </is>
      </c>
      <c r="C14" s="18" t="n">
        <v>644637.11</v>
      </c>
      <c r="D14" s="19">
        <f>C14/$C$121</f>
        <v/>
      </c>
      <c r="E14" s="20" t="inlineStr">
        <is>
          <t>BJTM270</t>
        </is>
      </c>
      <c r="H14" s="40" t="n"/>
    </row>
    <row r="15">
      <c r="A15" s="41" t="n">
        <v>84089</v>
      </c>
      <c r="B15" s="2" t="inlineStr">
        <is>
          <t>THE SAUDI NATIONAL BANK</t>
        </is>
      </c>
      <c r="C15" s="33" t="n">
        <v>601605.14</v>
      </c>
      <c r="D15" s="19">
        <f>C15/$C$121</f>
        <v/>
      </c>
      <c r="E15" s="20" t="inlineStr">
        <is>
          <t>BSHYYN1</t>
        </is>
      </c>
      <c r="H15" s="40" t="n"/>
    </row>
    <row r="16">
      <c r="A16" s="28" t="n">
        <v>4185</v>
      </c>
      <c r="B16" s="2" t="inlineStr">
        <is>
          <t>NASPERS LTD COMMON STOCK ZAR 2</t>
        </is>
      </c>
      <c r="C16" s="18" t="n">
        <v>550651.91</v>
      </c>
      <c r="D16" s="19">
        <f>C16/$C$121</f>
        <v/>
      </c>
      <c r="E16" s="38" t="inlineStr">
        <is>
          <t>BN0VX82</t>
        </is>
      </c>
      <c r="H16" s="40" t="n"/>
    </row>
    <row r="17">
      <c r="A17" s="28" t="n">
        <v>193157</v>
      </c>
      <c r="B17" s="2" t="inlineStr">
        <is>
          <t>FIRSTRAND LTD COMMON STOCK ZAR 1</t>
        </is>
      </c>
      <c r="C17" s="18" t="n">
        <v>536434.53</v>
      </c>
      <c r="D17" s="19">
        <f>C17/$C$121</f>
        <v/>
      </c>
      <c r="E17" s="38" t="inlineStr">
        <is>
          <t>6606996</t>
        </is>
      </c>
      <c r="H17" s="40" t="n"/>
    </row>
    <row r="18">
      <c r="A18" s="41" t="n">
        <v>131277</v>
      </c>
      <c r="B18" s="2" t="inlineStr">
        <is>
          <t>QATAR NATIONAL BANK QPSC COMMON STOCK QAR 1</t>
        </is>
      </c>
      <c r="C18" s="33" t="n">
        <v>455633.93</v>
      </c>
      <c r="D18" s="19">
        <f>C18/$C$121</f>
        <v/>
      </c>
      <c r="E18" s="20" t="inlineStr">
        <is>
          <t>6148197</t>
        </is>
      </c>
      <c r="H18" s="40" t="n"/>
    </row>
    <row r="19">
      <c r="A19" s="28" t="n">
        <v>244040</v>
      </c>
      <c r="B19" s="2" t="inlineStr">
        <is>
          <t>EMAAR PROPERTIES PJSC COMMON STOCK AED 1</t>
        </is>
      </c>
      <c r="C19" s="18" t="n">
        <v>437657.77</v>
      </c>
      <c r="D19" s="19">
        <f>C19/$C$121</f>
        <v/>
      </c>
      <c r="E19" s="20" t="inlineStr">
        <is>
          <t>B01RM25</t>
        </is>
      </c>
      <c r="H19" s="40" t="n"/>
    </row>
    <row r="20">
      <c r="A20" s="28" t="n">
        <v>54674</v>
      </c>
      <c r="B20" s="2" t="inlineStr">
        <is>
          <t>STANDARD BANK GROUP LTD COMMON STOCK ZAR 10</t>
        </is>
      </c>
      <c r="C20" s="18" t="n">
        <v>436285.32</v>
      </c>
      <c r="D20" s="19">
        <f>C20/$C$121</f>
        <v/>
      </c>
      <c r="E20" s="20" t="inlineStr">
        <is>
          <t>B030GJ7</t>
        </is>
      </c>
      <c r="H20" s="40" t="n"/>
    </row>
    <row r="21">
      <c r="A21" s="28" t="n">
        <v>52618</v>
      </c>
      <c r="B21" s="2" t="inlineStr">
        <is>
          <t>SAUDI TELECOM CO COMMON STOCK</t>
        </is>
      </c>
      <c r="C21" s="18" t="n">
        <v>432198.47</v>
      </c>
      <c r="D21" s="19">
        <f>C21/$C$121</f>
        <v/>
      </c>
      <c r="E21" s="20" t="inlineStr">
        <is>
          <t>B12M7Q5</t>
        </is>
      </c>
      <c r="H21" s="40" t="n"/>
    </row>
    <row r="22">
      <c r="A22" s="28" t="n">
        <v>18315</v>
      </c>
      <c r="B22" s="2" t="inlineStr">
        <is>
          <t>BID CORP LTD COMMON STOCK ZAR</t>
        </is>
      </c>
      <c r="C22" s="18" t="n">
        <v>336320.96</v>
      </c>
      <c r="D22" s="19">
        <f>C22/$C$121</f>
        <v/>
      </c>
      <c r="E22" s="20" t="inlineStr">
        <is>
          <t>BZBFKT7</t>
        </is>
      </c>
      <c r="H22" s="40" t="n"/>
    </row>
    <row r="23">
      <c r="A23" s="28" t="n">
        <v>81600</v>
      </c>
      <c r="B23" s="2" t="inlineStr">
        <is>
          <t>EMIRATES NBD BANK PJSC COMMON STOCK AED 1</t>
        </is>
      </c>
      <c r="C23" s="18" t="n">
        <v>323987.12</v>
      </c>
      <c r="D23" s="19">
        <f>C23/$C$121</f>
        <v/>
      </c>
      <c r="E23" s="20" t="inlineStr">
        <is>
          <t>B28PFX8</t>
        </is>
      </c>
      <c r="H23" s="40" t="n"/>
    </row>
    <row r="24">
      <c r="A24" s="28" t="n">
        <v>43770</v>
      </c>
      <c r="B24" s="2" t="inlineStr">
        <is>
          <t>ALINMA BANK COMMON STOCK SAR 10</t>
        </is>
      </c>
      <c r="C24" s="18" t="n">
        <v>319362.6</v>
      </c>
      <c r="D24" s="19">
        <f>C24/$C$121</f>
        <v/>
      </c>
      <c r="E24" s="20" t="inlineStr">
        <is>
          <t>B39NWT3</t>
        </is>
      </c>
      <c r="H24" s="40" t="n"/>
    </row>
    <row r="25">
      <c r="A25" s="28" t="n">
        <v>30074</v>
      </c>
      <c r="B25" s="2" t="inlineStr">
        <is>
          <t>SHOPRITE HOLDINGS LTD COMMON STOCK ZAR 113.4</t>
        </is>
      </c>
      <c r="C25" s="18" t="n">
        <v>313590.86</v>
      </c>
      <c r="D25" s="19">
        <f>C25/$C$121</f>
        <v/>
      </c>
      <c r="E25" s="20" t="inlineStr">
        <is>
          <t>6801575</t>
        </is>
      </c>
      <c r="H25" s="40" t="n"/>
    </row>
    <row r="26">
      <c r="A26" s="28" t="n">
        <v>20915</v>
      </c>
      <c r="B26" s="2" t="inlineStr">
        <is>
          <t>RIYADH CABLES GROUP CO COMMON STOCK SAR 10</t>
        </is>
      </c>
      <c r="C26" s="18" t="n">
        <v>312974.88</v>
      </c>
      <c r="D26" s="19">
        <f>C26/$C$121</f>
        <v/>
      </c>
      <c r="E26" s="20" t="inlineStr">
        <is>
          <t>BNBPXW7</t>
        </is>
      </c>
      <c r="H26" s="40" t="n"/>
    </row>
    <row r="27">
      <c r="A27" s="28" t="n">
        <v>100456</v>
      </c>
      <c r="B27" s="2" t="inlineStr">
        <is>
          <t>ADES HOLDING CO COMMON STOCK SAR 1</t>
        </is>
      </c>
      <c r="C27" s="18" t="n">
        <v>296258.41</v>
      </c>
      <c r="D27" s="19">
        <f>C27/$C$121</f>
        <v/>
      </c>
      <c r="E27" s="20" t="inlineStr">
        <is>
          <t>BR56KM3</t>
        </is>
      </c>
      <c r="H27" s="40" t="n"/>
    </row>
    <row r="28">
      <c r="A28" s="28" t="n">
        <v>226609</v>
      </c>
      <c r="B28" s="2" t="inlineStr">
        <is>
          <t>ALDAR PROPERTIES PJSC COMMON STOCK AED 1</t>
        </is>
      </c>
      <c r="C28" s="18" t="n">
        <v>291150.29</v>
      </c>
      <c r="D28" s="19">
        <f>C28/$C$121</f>
        <v/>
      </c>
      <c r="E28" s="20" t="inlineStr">
        <is>
          <t>B0LX3Y2</t>
        </is>
      </c>
      <c r="H28" s="40" t="n"/>
    </row>
    <row r="29">
      <c r="A29" s="28" t="n">
        <v>362649</v>
      </c>
      <c r="B29" s="2" t="inlineStr">
        <is>
          <t>LUKOIL PJSC COMMON STOCK RUB 0.025 RUB</t>
        </is>
      </c>
      <c r="C29" s="18" t="n">
        <v>156885.7</v>
      </c>
      <c r="D29" s="19">
        <f>C29/$C$121</f>
        <v/>
      </c>
      <c r="E29" s="20" t="inlineStr">
        <is>
          <t>2H6442S</t>
        </is>
      </c>
      <c r="H29" s="40" t="n"/>
    </row>
    <row r="30">
      <c r="A30" s="28" t="n">
        <v>262047</v>
      </c>
      <c r="B30" s="2" t="inlineStr">
        <is>
          <t>LUKOIL PJSC COMMON STOCK RUB</t>
        </is>
      </c>
      <c r="C30" s="18" t="n">
        <v>133882.56</v>
      </c>
      <c r="D30" s="19">
        <f>C30/$C$121</f>
        <v/>
      </c>
      <c r="E30" s="20" t="inlineStr">
        <is>
          <t>0H5797S</t>
        </is>
      </c>
      <c r="H30" s="40" t="n"/>
    </row>
    <row r="31" customFormat="1" s="35">
      <c r="A31" s="30" t="n"/>
      <c r="B31" s="27" t="inlineStr">
        <is>
          <t>Subtotal</t>
        </is>
      </c>
      <c r="C31" s="29">
        <f>+C30+C29</f>
        <v/>
      </c>
      <c r="D31" s="31">
        <f>C31/$C$121</f>
        <v/>
      </c>
      <c r="E31" s="34" t="n"/>
      <c r="G31" s="3" t="n"/>
    </row>
    <row r="32">
      <c r="A32" s="41" t="n">
        <v>31177</v>
      </c>
      <c r="B32" s="2" t="inlineStr">
        <is>
          <t>GOLD FIELDS LTD COMMON STOCK ZAR 50</t>
        </is>
      </c>
      <c r="C32" s="33" t="n">
        <v>278342.47</v>
      </c>
      <c r="D32" s="19">
        <f>C32/$C$121</f>
        <v/>
      </c>
      <c r="E32" s="38" t="inlineStr">
        <is>
          <t>6280215</t>
        </is>
      </c>
      <c r="H32" s="40" t="n"/>
    </row>
    <row r="33">
      <c r="A33" s="28" t="n">
        <v>95185</v>
      </c>
      <c r="B33" s="2" t="inlineStr">
        <is>
          <t>SANLAM LTD COMMON STOCK ZAR 1</t>
        </is>
      </c>
      <c r="C33" s="18" t="n">
        <v>271798.31</v>
      </c>
      <c r="D33" s="19">
        <f>C33/$C$121</f>
        <v/>
      </c>
      <c r="E33" s="20" t="inlineStr">
        <is>
          <t>B0L6750</t>
        </is>
      </c>
      <c r="H33" s="40" t="n"/>
    </row>
    <row r="34">
      <c r="A34" s="28" t="n">
        <v>11953</v>
      </c>
      <c r="B34" s="2" t="inlineStr">
        <is>
          <t>JUMBO SA COMMON STOCK EUR 0.88</t>
        </is>
      </c>
      <c r="C34" s="18" t="n">
        <v>269372.91</v>
      </c>
      <c r="D34" s="19">
        <f>C34/$C$121</f>
        <v/>
      </c>
      <c r="E34" s="20" t="inlineStr">
        <is>
          <t>7243530</t>
        </is>
      </c>
      <c r="H34" s="40" t="n"/>
    </row>
    <row r="35">
      <c r="A35" s="28" t="n">
        <v>35367</v>
      </c>
      <c r="B35" s="2" t="inlineStr">
        <is>
          <t>ABSA GROUP LTD</t>
        </is>
      </c>
      <c r="C35" s="18" t="n">
        <v>268746.65</v>
      </c>
      <c r="D35" s="19">
        <f>C35/$C$121</f>
        <v/>
      </c>
      <c r="E35" s="20" t="inlineStr">
        <is>
          <t>BFX05H3</t>
        </is>
      </c>
      <c r="H35" s="40" t="n"/>
    </row>
    <row r="36">
      <c r="A36" s="28" t="n">
        <v>22972</v>
      </c>
      <c r="B36" s="2" t="inlineStr">
        <is>
          <t>CLICKS GROUP LTD COMMON STOCK ZAR 1</t>
        </is>
      </c>
      <c r="C36" s="18" t="n">
        <v>258347.75</v>
      </c>
      <c r="D36" s="19">
        <f>C36/$C$121</f>
        <v/>
      </c>
      <c r="E36" s="20" t="inlineStr">
        <is>
          <t>6105578</t>
        </is>
      </c>
      <c r="H36" s="40" t="n"/>
    </row>
    <row r="37">
      <c r="A37" s="41" t="n">
        <v>13843</v>
      </c>
      <c r="B37" s="2" t="inlineStr">
        <is>
          <t>SAUDI BASIC INDUSTRIES CORP COMMON STOCK SAR 10</t>
        </is>
      </c>
      <c r="C37" s="18" t="n">
        <v>249485.44</v>
      </c>
      <c r="D37" s="19">
        <f>C37/$C$121</f>
        <v/>
      </c>
      <c r="E37" s="20" t="inlineStr">
        <is>
          <t>B1324D0</t>
        </is>
      </c>
      <c r="H37" s="40" t="n"/>
    </row>
    <row r="38">
      <c r="A38" s="28" t="n">
        <v>5524</v>
      </c>
      <c r="B38" s="2" t="inlineStr">
        <is>
          <t>ARABIAN CONTRACTING SERVICES CO COMMON STOCK SAR</t>
        </is>
      </c>
      <c r="C38" s="18" t="n">
        <v>247382.27</v>
      </c>
      <c r="D38" s="19">
        <f>C38/$C$121</f>
        <v/>
      </c>
      <c r="E38" s="38" t="inlineStr">
        <is>
          <t>BP4DC81</t>
        </is>
      </c>
      <c r="H38" s="40" t="n"/>
    </row>
    <row r="39">
      <c r="A39" s="28" t="n">
        <v>11566</v>
      </c>
      <c r="B39" s="2" t="inlineStr">
        <is>
          <t>MOTOR OIL HELLAS CORINTH REFINERIES SA COMMON STOCK EUR 0.75</t>
        </is>
      </c>
      <c r="C39" s="18" t="n">
        <v>239381.99</v>
      </c>
      <c r="D39" s="19">
        <f>C39/$C$121</f>
        <v/>
      </c>
      <c r="E39" s="38" t="inlineStr">
        <is>
          <t>5996234</t>
        </is>
      </c>
      <c r="H39" s="40" t="n"/>
    </row>
    <row r="40">
      <c r="A40" s="28" t="n">
        <v>123763</v>
      </c>
      <c r="B40" s="2" t="inlineStr">
        <is>
          <t>ABU DHABI COMMERCIAL BANK PJSC COMMON STOCK AED 1</t>
        </is>
      </c>
      <c r="C40" s="18" t="n">
        <v>238518.55</v>
      </c>
      <c r="D40" s="19">
        <f>C40/$C$121</f>
        <v/>
      </c>
      <c r="E40" s="38" t="inlineStr">
        <is>
          <t>6545464</t>
        </is>
      </c>
      <c r="H40" s="40" t="n"/>
    </row>
    <row r="41">
      <c r="A41" s="28" t="n">
        <v>7889</v>
      </c>
      <c r="B41" s="2" t="inlineStr">
        <is>
          <t>OTP BANK NYRT COMMON STOCK HUF 100</t>
        </is>
      </c>
      <c r="C41" s="18" t="n">
        <v>235434.91</v>
      </c>
      <c r="D41" s="19">
        <f>C41/$C$121</f>
        <v/>
      </c>
      <c r="E41" s="38" t="inlineStr">
        <is>
          <t>7320154</t>
        </is>
      </c>
      <c r="H41" s="40" t="n"/>
    </row>
    <row r="42">
      <c r="A42" s="28" t="n">
        <v>8860909</v>
      </c>
      <c r="B42" s="2" t="inlineStr">
        <is>
          <t>GAZPROM PJSC COMMON STOCK RUB</t>
        </is>
      </c>
      <c r="C42" s="18" t="n">
        <v>209072.59</v>
      </c>
      <c r="D42" s="19">
        <f>C42/$C$121</f>
        <v/>
      </c>
      <c r="E42" s="38" t="inlineStr">
        <is>
          <t>0H5796S</t>
        </is>
      </c>
      <c r="H42" s="40" t="n"/>
    </row>
    <row r="43">
      <c r="A43" s="28" t="n">
        <v>5365084</v>
      </c>
      <c r="B43" s="2" t="inlineStr">
        <is>
          <t>GAZPROM PJSC ADR</t>
        </is>
      </c>
      <c r="C43" s="18" t="n">
        <v>25556.18</v>
      </c>
      <c r="D43" s="19">
        <f>C43/$C$121</f>
        <v/>
      </c>
      <c r="E43" s="20" t="inlineStr">
        <is>
          <t>0H6364S</t>
        </is>
      </c>
      <c r="H43" s="40" t="n"/>
    </row>
    <row r="44" customFormat="1" s="35">
      <c r="A44" s="30" t="n"/>
      <c r="B44" s="27" t="inlineStr">
        <is>
          <t>Subtotal</t>
        </is>
      </c>
      <c r="C44" s="29">
        <f>+C43+C42</f>
        <v/>
      </c>
      <c r="D44" s="31">
        <f>C44/$C$121</f>
        <v/>
      </c>
      <c r="E44" s="34" t="n"/>
      <c r="G44" s="3" t="n"/>
    </row>
    <row r="45">
      <c r="A45" s="41" t="n">
        <v>1370</v>
      </c>
      <c r="B45" s="2" t="inlineStr">
        <is>
          <t>ELM CO COMMON STOCK SAR 10</t>
        </is>
      </c>
      <c r="C45" s="18" t="n">
        <v>233440.5</v>
      </c>
      <c r="D45" s="19">
        <f>C45/$C$121</f>
        <v/>
      </c>
      <c r="E45" s="20" t="inlineStr">
        <is>
          <t>BNYDSH8</t>
        </is>
      </c>
    </row>
    <row r="46">
      <c r="A46" s="41" t="n">
        <v>38596</v>
      </c>
      <c r="B46" s="2" t="inlineStr">
        <is>
          <t>RIYAD BANK COMMON STOCK SAR 10</t>
        </is>
      </c>
      <c r="C46" s="18" t="n">
        <v>232708.59</v>
      </c>
      <c r="D46" s="19">
        <f>C46/$C$121</f>
        <v/>
      </c>
      <c r="E46" s="20" t="inlineStr">
        <is>
          <t>B12LZW4</t>
        </is>
      </c>
    </row>
    <row r="47">
      <c r="A47" s="41" t="n">
        <v>250715</v>
      </c>
      <c r="B47" s="2" t="inlineStr">
        <is>
          <t>ADNOC DRILLING CO PJSC COMMON STOCK AED</t>
        </is>
      </c>
      <c r="C47" s="18" t="n">
        <v>224814.31</v>
      </c>
      <c r="D47" s="19">
        <f>C47/$C$121</f>
        <v/>
      </c>
      <c r="E47" s="20" t="inlineStr">
        <is>
          <t>BN12D39</t>
        </is>
      </c>
    </row>
    <row r="48">
      <c r="A48" s="41" t="n">
        <v>71649</v>
      </c>
      <c r="B48" s="2" t="inlineStr">
        <is>
          <t>INDUSTRIES QATAR QSC COMMON STOCK QAR 1</t>
        </is>
      </c>
      <c r="C48" s="18" t="n">
        <v>222552.39</v>
      </c>
      <c r="D48" s="19">
        <f>C48/$C$121</f>
        <v/>
      </c>
      <c r="E48" s="20" t="inlineStr">
        <is>
          <t>6673570</t>
        </is>
      </c>
    </row>
    <row r="49">
      <c r="A49" s="41" t="n">
        <v>14455036</v>
      </c>
      <c r="B49" s="2" t="inlineStr">
        <is>
          <t>SBERBANK OF RUSSIA PJSC PREFERENCE RUB 3</t>
        </is>
      </c>
      <c r="C49" s="18" t="n">
        <v>188146.29</v>
      </c>
      <c r="D49" s="19">
        <f>C49/$C$121</f>
        <v/>
      </c>
      <c r="E49" s="20" t="inlineStr">
        <is>
          <t>0H5856S</t>
        </is>
      </c>
      <c r="H49" s="40" t="n"/>
    </row>
    <row r="50">
      <c r="A50" s="28" t="n">
        <v>2355925</v>
      </c>
      <c r="B50" s="2" t="inlineStr">
        <is>
          <t>SBERBANK OF RUSSIA PJSC</t>
        </is>
      </c>
      <c r="C50" s="18" t="n">
        <v>30443.02</v>
      </c>
      <c r="D50" s="19">
        <f>C50/$C$121</f>
        <v/>
      </c>
      <c r="E50" s="20" t="inlineStr">
        <is>
          <t>0H5855S</t>
        </is>
      </c>
      <c r="H50" s="40" t="n"/>
    </row>
    <row r="51" customFormat="1" s="35">
      <c r="A51" s="30" t="n"/>
      <c r="B51" s="27" t="inlineStr">
        <is>
          <t>Subtotal</t>
        </is>
      </c>
      <c r="C51" s="29">
        <f>+C50+C49</f>
        <v/>
      </c>
      <c r="D51" s="31">
        <f>C51/$C$121</f>
        <v/>
      </c>
      <c r="E51" s="34" t="n"/>
      <c r="G51" s="3" t="n"/>
    </row>
    <row r="52">
      <c r="A52" s="28" t="n">
        <v>16665</v>
      </c>
      <c r="B52" s="2" t="inlineStr">
        <is>
          <t>BIDVEST GROUP LTD/THE COMMON STOCK ZAR 5</t>
        </is>
      </c>
      <c r="C52" s="18" t="n">
        <v>197694.78</v>
      </c>
      <c r="D52" s="19">
        <f>C52/$C$121</f>
        <v/>
      </c>
      <c r="E52" s="20" t="inlineStr">
        <is>
          <t>6100089</t>
        </is>
      </c>
    </row>
    <row r="53">
      <c r="A53" s="28" t="n">
        <v>4813</v>
      </c>
      <c r="B53" s="2" t="inlineStr">
        <is>
          <t>ARABIAN DRILLING CO COMMON STOCK SAR 10</t>
        </is>
      </c>
      <c r="C53" s="18" t="n">
        <v>197456.98</v>
      </c>
      <c r="D53" s="19">
        <f>C53/$C$121</f>
        <v/>
      </c>
      <c r="E53" s="20" t="inlineStr">
        <is>
          <t>BPNZYP9</t>
        </is>
      </c>
    </row>
    <row r="54">
      <c r="A54" s="28" t="n">
        <v>6125</v>
      </c>
      <c r="B54" s="2" t="inlineStr">
        <is>
          <t>LEEJAM SPORTS CO JSC COMMON STOCK SAR 10</t>
        </is>
      </c>
      <c r="C54" s="18" t="n">
        <v>190268.43</v>
      </c>
      <c r="D54" s="19">
        <f>C54/$C$121</f>
        <v/>
      </c>
      <c r="E54" s="20" t="inlineStr">
        <is>
          <t>BF12ZV5</t>
        </is>
      </c>
    </row>
    <row r="55">
      <c r="A55" s="28" t="n">
        <v>144384</v>
      </c>
      <c r="B55" s="2" t="inlineStr">
        <is>
          <t>DUBAI ISLAMIC BANK PJSC COMMON STOCK AED 1</t>
        </is>
      </c>
      <c r="C55" s="18" t="n">
        <v>188405.04</v>
      </c>
      <c r="D55" s="19">
        <f>C55/$C$121</f>
        <v/>
      </c>
      <c r="E55" s="20" t="inlineStr">
        <is>
          <t>6283452</t>
        </is>
      </c>
    </row>
    <row r="56">
      <c r="A56" s="28" t="n">
        <v>19263</v>
      </c>
      <c r="B56" s="2" t="inlineStr">
        <is>
          <t>ETIHAD ETISALAT CO COMMON STOCK SAR 10</t>
        </is>
      </c>
      <c r="C56" s="18" t="n">
        <v>186207.96</v>
      </c>
      <c r="D56" s="19">
        <f>C56/$C$121</f>
        <v/>
      </c>
      <c r="E56" s="20" t="inlineStr">
        <is>
          <t>B12LR51</t>
        </is>
      </c>
    </row>
    <row r="57">
      <c r="A57" s="28" t="n">
        <v>40456</v>
      </c>
      <c r="B57" s="2" t="inlineStr">
        <is>
          <t>VODACOM GROUP LTD COMMON STOCK ZAR</t>
        </is>
      </c>
      <c r="C57" s="18" t="n">
        <v>186037.12</v>
      </c>
      <c r="D57" s="19">
        <f>C57/$C$121</f>
        <v/>
      </c>
      <c r="E57" s="20" t="inlineStr">
        <is>
          <t>B65B4D0</t>
        </is>
      </c>
    </row>
    <row r="58">
      <c r="A58" s="28" t="n">
        <v>22211</v>
      </c>
      <c r="B58" s="2" t="inlineStr">
        <is>
          <t>SAHARA INTERNATIONAL PETROCHEMICAL CO COMMON STOCK SAR 10</t>
        </is>
      </c>
      <c r="C58" s="18" t="n">
        <v>183166.53</v>
      </c>
      <c r="D58" s="19">
        <f>C58/$C$121</f>
        <v/>
      </c>
      <c r="E58" s="20" t="inlineStr">
        <is>
          <t>B1C1NH5</t>
        </is>
      </c>
    </row>
    <row r="59">
      <c r="A59" s="28" t="n">
        <v>13785</v>
      </c>
      <c r="B59" s="2" t="inlineStr">
        <is>
          <t>ANGLOGOLD ASHANTI PLC ZAR</t>
        </is>
      </c>
      <c r="C59" s="18" t="n">
        <v>182671.52</v>
      </c>
      <c r="D59" s="19">
        <f>C59/$C$121</f>
        <v/>
      </c>
      <c r="E59" s="20" t="inlineStr">
        <is>
          <t>BRF6FX9</t>
        </is>
      </c>
    </row>
    <row r="60">
      <c r="A60" s="28" t="n">
        <v>55575</v>
      </c>
      <c r="B60" s="2" t="inlineStr">
        <is>
          <t>AVI LTD COMMON STOCK ZAR 5</t>
        </is>
      </c>
      <c r="C60" s="18" t="n">
        <v>180372.48</v>
      </c>
      <c r="D60" s="19">
        <f>C60/$C$121</f>
        <v/>
      </c>
      <c r="E60" s="20" t="inlineStr">
        <is>
          <t>6040958</t>
        </is>
      </c>
    </row>
    <row r="61">
      <c r="A61" s="28" t="n">
        <v>5598</v>
      </c>
      <c r="B61" s="2" t="inlineStr">
        <is>
          <t>MYTILINEOS SA COMMON STOCK EUR 0.97</t>
        </is>
      </c>
      <c r="C61" s="18" t="n">
        <v>169277.07</v>
      </c>
      <c r="D61" s="19">
        <f>C61/$C$121</f>
        <v/>
      </c>
      <c r="E61" s="20" t="inlineStr">
        <is>
          <t>5898664</t>
        </is>
      </c>
    </row>
    <row r="62">
      <c r="A62" s="28" t="n">
        <v>66726</v>
      </c>
      <c r="B62" s="2" t="inlineStr">
        <is>
          <t>ABU DHABI ISLAMIC BANK PJSC COMMON STOCK AED 1</t>
        </is>
      </c>
      <c r="C62" s="18" t="n">
        <v>166400.44</v>
      </c>
      <c r="D62" s="19">
        <f>C62/$C$121</f>
        <v/>
      </c>
      <c r="E62" s="20" t="inlineStr">
        <is>
          <t>6001728</t>
        </is>
      </c>
    </row>
    <row r="63">
      <c r="A63" s="28" t="n">
        <v>7386</v>
      </c>
      <c r="B63" s="2" t="inlineStr">
        <is>
          <t>MOUWASAT MEDICAL SERVICES CO COMMON STOCK SAR 10</t>
        </is>
      </c>
      <c r="C63" s="18" t="n">
        <v>166191.03</v>
      </c>
      <c r="D63" s="19">
        <f>C63/$C$121</f>
        <v/>
      </c>
      <c r="E63" s="20" t="inlineStr">
        <is>
          <t>B403QG4</t>
        </is>
      </c>
    </row>
    <row r="64">
      <c r="A64" s="28" t="n">
        <v>292031</v>
      </c>
      <c r="B64" s="2" t="inlineStr">
        <is>
          <t>DUBAI ELECTRICITY &amp; WATER AU</t>
        </is>
      </c>
      <c r="C64" s="18" t="n">
        <v>166106.54</v>
      </c>
      <c r="D64" s="19">
        <f>C64/$C$121</f>
        <v/>
      </c>
      <c r="E64" s="20" t="inlineStr">
        <is>
          <t>BJLTVJ4</t>
        </is>
      </c>
    </row>
    <row r="65">
      <c r="A65" s="28" t="n">
        <v>196322</v>
      </c>
      <c r="B65" s="2" t="inlineStr">
        <is>
          <t>QATAR GAS TRANSPORT CO LTD COMMON STOCK QAR 1</t>
        </is>
      </c>
      <c r="C65" s="18" t="n">
        <v>164470.64</v>
      </c>
      <c r="D65" s="19">
        <f>C65/$C$121</f>
        <v/>
      </c>
      <c r="E65" s="20" t="inlineStr">
        <is>
          <t>B0MLBC9</t>
        </is>
      </c>
    </row>
    <row r="66">
      <c r="A66" s="28" t="n">
        <v>300201</v>
      </c>
      <c r="B66" s="2" t="inlineStr">
        <is>
          <t>OLD MUTUAL LTD COMMON STOCK ZAR</t>
        </is>
      </c>
      <c r="C66" s="18" t="n">
        <v>157317.32</v>
      </c>
      <c r="D66" s="19">
        <f>C66/$C$121</f>
        <v/>
      </c>
      <c r="E66" s="20" t="inlineStr">
        <is>
          <t>BDVPYN5</t>
        </is>
      </c>
    </row>
    <row r="67">
      <c r="A67" s="28" t="n">
        <v>49840</v>
      </c>
      <c r="B67" s="2" t="inlineStr">
        <is>
          <t>JARIR MARKETING CO COMMON STOCK SAR 1</t>
        </is>
      </c>
      <c r="C67" s="18" t="n">
        <v>156783.94</v>
      </c>
      <c r="D67" s="19">
        <f>C67/$C$121</f>
        <v/>
      </c>
      <c r="E67" s="20" t="inlineStr">
        <is>
          <t>B128FM5</t>
        </is>
      </c>
    </row>
    <row r="68">
      <c r="A68" s="28" t="n">
        <v>11282</v>
      </c>
      <c r="B68" s="2" t="inlineStr">
        <is>
          <t>OPAP SA COMMON STOCK EUR 0.3</t>
        </is>
      </c>
      <c r="C68" s="18" t="n">
        <v>155212.65</v>
      </c>
      <c r="D68" s="19">
        <f>C68/$C$121</f>
        <v/>
      </c>
      <c r="E68" s="20" t="inlineStr">
        <is>
          <t>7107250</t>
        </is>
      </c>
    </row>
    <row r="69">
      <c r="A69" s="28" t="n">
        <v>20423</v>
      </c>
      <c r="B69" s="2" t="inlineStr">
        <is>
          <t>SAUDI AWWAL BANK COMMON STOCK SAR 10</t>
        </is>
      </c>
      <c r="C69" s="18" t="n">
        <v>153252.41</v>
      </c>
      <c r="D69" s="19">
        <f>C69/$C$121</f>
        <v/>
      </c>
      <c r="E69" s="20" t="inlineStr">
        <is>
          <t>B12LSY7</t>
        </is>
      </c>
    </row>
    <row r="70">
      <c r="A70" s="28" t="n">
        <v>18372</v>
      </c>
      <c r="B70" s="2" t="inlineStr">
        <is>
          <t>HUMANSOFT HOLDING CO KSC COMMON STOCK KWD 100</t>
        </is>
      </c>
      <c r="C70" s="18" t="n">
        <v>152153.92</v>
      </c>
      <c r="D70" s="19">
        <f>C70/$C$121</f>
        <v/>
      </c>
      <c r="E70" s="20" t="inlineStr">
        <is>
          <t>B13BYX7</t>
        </is>
      </c>
    </row>
    <row r="71">
      <c r="A71" s="28" t="n">
        <v>1902</v>
      </c>
      <c r="B71" s="2" t="inlineStr">
        <is>
          <t>JSC KASPI.KZ GDR-REG S</t>
        </is>
      </c>
      <c r="C71" s="18" t="n">
        <v>150844.78</v>
      </c>
      <c r="D71" s="19">
        <f>C71/$C$121</f>
        <v/>
      </c>
      <c r="E71" s="20" t="inlineStr">
        <is>
          <t>BMXZ8G7</t>
        </is>
      </c>
    </row>
    <row r="72">
      <c r="A72" s="28" t="n">
        <v>49360</v>
      </c>
      <c r="B72" s="2" t="inlineStr">
        <is>
          <t>FIRST ABU DHABI BANK PJSC COMMON STOCK AED 1</t>
        </is>
      </c>
      <c r="C72" s="18" t="n">
        <v>149737.87</v>
      </c>
      <c r="D72" s="19">
        <f>C72/$C$121</f>
        <v/>
      </c>
      <c r="E72" s="20" t="inlineStr">
        <is>
          <t>6624471</t>
        </is>
      </c>
    </row>
    <row r="73">
      <c r="A73" s="28" t="n">
        <v>12548</v>
      </c>
      <c r="B73" s="2" t="inlineStr">
        <is>
          <t>HELLENIC TELECOMMUNICATIONS ORGANIZATION SA COMMON STOCK EUR 2.83</t>
        </is>
      </c>
      <c r="C73" s="18" t="n">
        <v>149554.36</v>
      </c>
      <c r="D73" s="19">
        <f>C73/$C$121</f>
        <v/>
      </c>
      <c r="E73" s="20" t="inlineStr">
        <is>
          <t>5051605</t>
        </is>
      </c>
    </row>
    <row r="74">
      <c r="A74" s="28" t="n">
        <v>1268490</v>
      </c>
      <c r="B74" s="2" t="inlineStr">
        <is>
          <t>NOVATEK PJSC COMMON STOCK RUB 0.1</t>
        </is>
      </c>
      <c r="C74" s="18" t="n">
        <v>135127.35</v>
      </c>
      <c r="D74" s="19">
        <f>C74/$C$121</f>
        <v/>
      </c>
      <c r="E74" s="20" t="inlineStr">
        <is>
          <t>2H6464S</t>
        </is>
      </c>
    </row>
    <row r="75">
      <c r="A75" s="28" t="n">
        <v>103572</v>
      </c>
      <c r="B75" s="2" t="inlineStr">
        <is>
          <t>NOVATEK PJSC COMMON STOCK RUB 0.1</t>
        </is>
      </c>
      <c r="C75" s="18" t="n">
        <v>13030.06</v>
      </c>
      <c r="D75" s="19">
        <f>C75/$C$121</f>
        <v/>
      </c>
      <c r="E75" s="20" t="inlineStr">
        <is>
          <t>0H5828S</t>
        </is>
      </c>
    </row>
    <row r="76" customFormat="1" s="35">
      <c r="A76" s="30" t="n"/>
      <c r="B76" s="27" t="inlineStr">
        <is>
          <t>Subtotal</t>
        </is>
      </c>
      <c r="C76" s="29">
        <f>+C75+C74</f>
        <v/>
      </c>
      <c r="D76" s="31">
        <f>C76/$C$121</f>
        <v/>
      </c>
      <c r="E76" s="34" t="n"/>
      <c r="G76" s="3" t="n"/>
    </row>
    <row r="77">
      <c r="A77" s="28" t="n">
        <v>13529</v>
      </c>
      <c r="B77" s="2" t="inlineStr">
        <is>
          <t>HALYK SAVINGS BANK OF KAZAKHSTAN JSC GDR USD</t>
        </is>
      </c>
      <c r="C77" s="18" t="n">
        <v>147865.19</v>
      </c>
      <c r="D77" s="19">
        <f>C77/$C$121</f>
        <v/>
      </c>
      <c r="E77" s="20" t="inlineStr">
        <is>
          <t>B1KDG41</t>
        </is>
      </c>
    </row>
    <row r="78">
      <c r="A78" s="28" t="n">
        <v>1892</v>
      </c>
      <c r="B78" s="2" t="inlineStr">
        <is>
          <t>KRUK SA COMMON STOCK PLN 1</t>
        </is>
      </c>
      <c r="C78" s="18" t="n">
        <v>147020.09</v>
      </c>
      <c r="D78" s="19">
        <f>C78/$C$121</f>
        <v/>
      </c>
      <c r="E78" s="20" t="inlineStr">
        <is>
          <t>B4PTLY0</t>
        </is>
      </c>
    </row>
    <row r="79">
      <c r="A79" s="28" t="n">
        <v>9725</v>
      </c>
      <c r="B79" s="2" t="inlineStr">
        <is>
          <t>UNITED INTERNATIONAL TRANSPORTATION CO COMMON STOCK SAR 10</t>
        </is>
      </c>
      <c r="C79" s="18" t="n">
        <v>146163.55</v>
      </c>
      <c r="D79" s="19">
        <f>C79/$C$121</f>
        <v/>
      </c>
      <c r="E79" s="20" t="inlineStr">
        <is>
          <t>B2493D0</t>
        </is>
      </c>
    </row>
    <row r="80">
      <c r="A80" s="28" t="n">
        <v>78324</v>
      </c>
      <c r="B80" s="2" t="inlineStr">
        <is>
          <t>OUTSURANCE GROUP LTD COMMON STOCK ZAR 0.0001</t>
        </is>
      </c>
      <c r="C80" s="18" t="n">
        <v>145547.62</v>
      </c>
      <c r="D80" s="19">
        <f>C80/$C$121</f>
        <v/>
      </c>
      <c r="E80" s="20" t="inlineStr">
        <is>
          <t>BN6QSM0</t>
        </is>
      </c>
    </row>
    <row r="81">
      <c r="A81" s="28" t="n">
        <v>60427</v>
      </c>
      <c r="B81" s="2" t="inlineStr">
        <is>
          <t>OOREDOO QPSC COMMON STOCK QAR 1</t>
        </is>
      </c>
      <c r="C81" s="18" t="n">
        <v>143491.62</v>
      </c>
      <c r="D81" s="19">
        <f>C81/$C$121</f>
        <v/>
      </c>
      <c r="E81" s="20" t="inlineStr">
        <is>
          <t>6158174</t>
        </is>
      </c>
    </row>
    <row r="82">
      <c r="A82" s="28" t="n">
        <v>36992</v>
      </c>
      <c r="B82" s="2" t="inlineStr">
        <is>
          <t>BANCA TRANSILVANIA SA COMMON STOCK RON 1</t>
        </is>
      </c>
      <c r="C82" s="18" t="n">
        <v>142571.1</v>
      </c>
      <c r="D82" s="19">
        <f>C82/$C$121</f>
        <v/>
      </c>
      <c r="E82" s="20" t="inlineStr">
        <is>
          <t>5393307</t>
        </is>
      </c>
    </row>
    <row r="83">
      <c r="A83" s="28" t="n">
        <v>71192</v>
      </c>
      <c r="B83" s="2" t="inlineStr">
        <is>
          <t>MMC NORILSK NICKEL PJSC COMMON STOCK RUB 1</t>
        </is>
      </c>
      <c r="C83" s="18" t="n">
        <v>140986.32</v>
      </c>
      <c r="D83" s="19">
        <f>C83/$C$121</f>
        <v/>
      </c>
      <c r="E83" s="20" t="inlineStr">
        <is>
          <t>0H5804S</t>
        </is>
      </c>
    </row>
    <row r="84">
      <c r="A84" s="28" t="n">
        <v>187852</v>
      </c>
      <c r="B84" s="2" t="inlineStr">
        <is>
          <t>SALIK CO PJSC COMMON STOCK AED 0.01</t>
        </is>
      </c>
      <c r="C84" s="18" t="n">
        <v>136600.1</v>
      </c>
      <c r="D84" s="19">
        <f>C84/$C$121</f>
        <v/>
      </c>
      <c r="E84" s="20" t="inlineStr">
        <is>
          <t>BJN5952</t>
        </is>
      </c>
    </row>
    <row r="85">
      <c r="A85" s="28" t="n">
        <v>174489</v>
      </c>
      <c r="B85" s="2" t="inlineStr">
        <is>
          <t>FERTIGLOBE PLC COMMON STOCK</t>
        </is>
      </c>
      <c r="C85" s="18" t="n">
        <v>135834.8</v>
      </c>
      <c r="D85" s="19">
        <f>C85/$C$121</f>
        <v/>
      </c>
      <c r="E85" s="20" t="inlineStr">
        <is>
          <t>BMXCL70</t>
        </is>
      </c>
    </row>
    <row r="86">
      <c r="A86" s="28" t="n">
        <v>5652</v>
      </c>
      <c r="B86" s="2" t="inlineStr">
        <is>
          <t>KOMERCNI BANKA AS COMMON STOCK CZK 100</t>
        </is>
      </c>
      <c r="C86" s="18" t="n">
        <v>135072.13</v>
      </c>
      <c r="D86" s="19">
        <f>C86/$C$121</f>
        <v/>
      </c>
      <c r="E86" s="20" t="inlineStr">
        <is>
          <t>4519449</t>
        </is>
      </c>
    </row>
    <row r="87">
      <c r="A87" s="28" t="n">
        <v>498960</v>
      </c>
      <c r="B87" s="2" t="inlineStr">
        <is>
          <t>AL ANSARI FINANCIAL SERVICES PJSC COMMON STOCK AED</t>
        </is>
      </c>
      <c r="C87" s="18" t="n">
        <v>130217.45</v>
      </c>
      <c r="D87" s="19">
        <f>C87/$C$121</f>
        <v/>
      </c>
      <c r="E87" s="20" t="inlineStr">
        <is>
          <t>BMWB101</t>
        </is>
      </c>
    </row>
    <row r="88">
      <c r="A88" s="28" t="n">
        <v>43702</v>
      </c>
      <c r="B88" s="2" t="inlineStr">
        <is>
          <t>WOOLWORTHS HOLDINGS LTD/SOUTH AFRICA COMMON STOCK ZAR 0</t>
        </is>
      </c>
      <c r="C88" s="18" t="n">
        <v>128914.12</v>
      </c>
      <c r="D88" s="19">
        <f>C88/$C$121</f>
        <v/>
      </c>
      <c r="E88" s="20" t="inlineStr">
        <is>
          <t>B06KZ97</t>
        </is>
      </c>
    </row>
    <row r="89">
      <c r="A89" s="28" t="n">
        <v>99566</v>
      </c>
      <c r="B89" s="2" t="inlineStr">
        <is>
          <t>SIBANYE STILLWATER LTD COMMON STOCK ZAR</t>
        </is>
      </c>
      <c r="C89" s="18" t="n">
        <v>126566.05</v>
      </c>
      <c r="D89" s="19">
        <f>C89/$C$121</f>
        <v/>
      </c>
      <c r="E89" s="20" t="inlineStr">
        <is>
          <t>BL0L913</t>
        </is>
      </c>
    </row>
    <row r="90">
      <c r="A90" s="28" t="n">
        <v>153691</v>
      </c>
      <c r="B90" s="2" t="inlineStr">
        <is>
          <t>ADNOC GAS PLC</t>
        </is>
      </c>
      <c r="C90" s="18" t="n">
        <v>118958.5</v>
      </c>
      <c r="D90" s="19">
        <f>C90/$C$121</f>
        <v/>
      </c>
      <c r="E90" s="20" t="inlineStr">
        <is>
          <t>BPJLW35</t>
        </is>
      </c>
    </row>
    <row r="91">
      <c r="A91" s="28" t="n">
        <v>133931</v>
      </c>
      <c r="B91" s="2" t="inlineStr">
        <is>
          <t>ADNOC LOGISTICS &amp; SERVICES COMMON STOCK AED</t>
        </is>
      </c>
      <c r="C91" s="18" t="n">
        <v>108443.95</v>
      </c>
      <c r="D91" s="19">
        <f>C91/$C$121</f>
        <v/>
      </c>
      <c r="E91" s="20" t="inlineStr">
        <is>
          <t>6H9334S</t>
        </is>
      </c>
    </row>
    <row r="92">
      <c r="A92" s="28" t="n">
        <v>24782</v>
      </c>
      <c r="B92" s="2" t="inlineStr">
        <is>
          <t>ARABIAN CENTRES CO LTD COMMON STOCK SAR 10</t>
        </is>
      </c>
      <c r="C92" s="18" t="n">
        <v>107733.43</v>
      </c>
      <c r="D92" s="19">
        <f>C92/$C$121</f>
        <v/>
      </c>
      <c r="E92" s="20" t="inlineStr">
        <is>
          <t>BKBF694</t>
        </is>
      </c>
    </row>
    <row r="93">
      <c r="A93" s="28" t="n">
        <v>4733</v>
      </c>
      <c r="B93" s="2" t="inlineStr">
        <is>
          <t>ANGLO AMERICAN PLC COMMON STOCK GBP 0.54945</t>
        </is>
      </c>
      <c r="C93" s="18" t="n">
        <v>107226.12</v>
      </c>
      <c r="D93" s="19">
        <f>C93/$C$121</f>
        <v/>
      </c>
      <c r="E93" s="20" t="inlineStr">
        <is>
          <t>B1XZS82</t>
        </is>
      </c>
    </row>
    <row r="94">
      <c r="A94" s="28" t="n">
        <v>2041744</v>
      </c>
      <c r="B94" s="2" t="inlineStr">
        <is>
          <t>ROSNEFT OIL CO PJSC COMMON STOCK RUB 0.01</t>
        </is>
      </c>
      <c r="C94" s="18" t="n">
        <v>62268.42</v>
      </c>
      <c r="D94" s="19">
        <f>C94/$C$121</f>
        <v/>
      </c>
      <c r="E94" s="20" t="inlineStr">
        <is>
          <t>0H5827S</t>
        </is>
      </c>
    </row>
    <row r="95">
      <c r="A95" s="28" t="n">
        <v>1677948</v>
      </c>
      <c r="B95" s="2" t="inlineStr">
        <is>
          <t>ROSNEFT OIL CO PJSC COMMON STOCK RUB</t>
        </is>
      </c>
      <c r="C95" s="18" t="n">
        <v>43383.42</v>
      </c>
      <c r="D95" s="19">
        <f>C95/$C$121</f>
        <v/>
      </c>
      <c r="E95" s="20" t="inlineStr">
        <is>
          <t>2H7674S</t>
        </is>
      </c>
    </row>
    <row r="96" customFormat="1" s="35">
      <c r="A96" s="30" t="n"/>
      <c r="B96" s="27" t="inlineStr">
        <is>
          <t>Subtotal</t>
        </is>
      </c>
      <c r="C96" s="29">
        <f>+C95+C94</f>
        <v/>
      </c>
      <c r="D96" s="31">
        <f>C96/$C$121</f>
        <v/>
      </c>
      <c r="E96" s="34" t="n"/>
      <c r="G96" s="3" t="n"/>
    </row>
    <row r="97">
      <c r="A97" s="28" t="n">
        <v>3428</v>
      </c>
      <c r="B97" s="2" t="inlineStr">
        <is>
          <t>ALDREES PETROLEUM AND TRANSPORT SERVICES CO COMMON STOCK SAR 10</t>
        </is>
      </c>
      <c r="C97" s="18" t="n">
        <v>104690.92</v>
      </c>
      <c r="D97" s="19">
        <f>C97/$C$121</f>
        <v/>
      </c>
      <c r="E97" s="20" t="inlineStr">
        <is>
          <t>B128FF8</t>
        </is>
      </c>
    </row>
    <row r="98">
      <c r="A98" s="28" t="n">
        <v>3504</v>
      </c>
      <c r="B98" s="2" t="inlineStr">
        <is>
          <t>TBC BANK GROUP PLC COMMON STOCK GBP 1</t>
        </is>
      </c>
      <c r="C98" s="18" t="n">
        <v>104419.2</v>
      </c>
      <c r="D98" s="19">
        <f>C98/$C$121</f>
        <v/>
      </c>
      <c r="E98" s="20" t="inlineStr">
        <is>
          <t>BYT1830</t>
        </is>
      </c>
    </row>
    <row r="99">
      <c r="A99" s="28" t="n">
        <v>20379</v>
      </c>
      <c r="B99" s="2" t="inlineStr">
        <is>
          <t>MOTUS HOLDINGS LTD COMMON STOCK ZAR</t>
        </is>
      </c>
      <c r="C99" s="18" t="n">
        <v>83317.13</v>
      </c>
      <c r="D99" s="19">
        <f>C99/$C$121</f>
        <v/>
      </c>
      <c r="E99" s="20" t="inlineStr">
        <is>
          <t>BDRN3H0</t>
        </is>
      </c>
    </row>
    <row r="100">
      <c r="A100" s="28" t="n">
        <v>3657350</v>
      </c>
      <c r="B100" s="2" t="inlineStr">
        <is>
          <t>NOVOLIPETSK STEEL PJSC COMMON STOCK RUB</t>
        </is>
      </c>
      <c r="C100" s="18" t="n">
        <v>57565.52</v>
      </c>
      <c r="D100" s="19">
        <f>C100/$C$121</f>
        <v/>
      </c>
      <c r="E100" s="20" t="inlineStr">
        <is>
          <t>2H7675S</t>
        </is>
      </c>
    </row>
    <row r="101">
      <c r="A101" s="28" t="n">
        <v>180877</v>
      </c>
      <c r="B101" s="2" t="inlineStr">
        <is>
          <t>MAGNIT PJSC COMMON STOCK RUB 0.01</t>
        </is>
      </c>
      <c r="C101" s="18" t="n">
        <v>55521.45</v>
      </c>
      <c r="D101" s="19">
        <f>C101/$C$121</f>
        <v/>
      </c>
      <c r="E101" s="20" t="inlineStr">
        <is>
          <t>0H5813S</t>
        </is>
      </c>
    </row>
    <row r="102">
      <c r="A102" s="28" t="n">
        <v>1265335</v>
      </c>
      <c r="B102" s="2" t="inlineStr">
        <is>
          <t>GAZPROM NEFT PJSC COMMON STOCK RUB</t>
        </is>
      </c>
      <c r="C102" s="18" t="n">
        <v>50172.95</v>
      </c>
      <c r="D102" s="19">
        <f>C102/$C$121</f>
        <v/>
      </c>
      <c r="E102" s="20" t="inlineStr">
        <is>
          <t>0H5803S</t>
        </is>
      </c>
    </row>
    <row r="103">
      <c r="A103" s="28" t="n">
        <v>730066</v>
      </c>
      <c r="B103" s="2" t="inlineStr">
        <is>
          <t>TATNEFT PJSC COMMON STOCK RUB</t>
        </is>
      </c>
      <c r="C103" s="18" t="n">
        <v>27134.37</v>
      </c>
      <c r="D103" s="19">
        <f>C103/$C$121</f>
        <v/>
      </c>
      <c r="E103" s="20" t="inlineStr">
        <is>
          <t>0H5822S</t>
        </is>
      </c>
    </row>
    <row r="104">
      <c r="A104" s="28" t="n">
        <v>571359</v>
      </c>
      <c r="B104" s="2" t="inlineStr">
        <is>
          <t>TATNEFT PJSC PREFERENCE RUB 1</t>
        </is>
      </c>
      <c r="C104" s="18" t="n">
        <v>18805.72</v>
      </c>
      <c r="D104" s="19">
        <f>C104/$C$121</f>
        <v/>
      </c>
      <c r="E104" s="20" t="inlineStr">
        <is>
          <t>0H5816S</t>
        </is>
      </c>
    </row>
    <row r="105" customFormat="1" s="35">
      <c r="A105" s="30" t="n"/>
      <c r="B105" s="27" t="inlineStr">
        <is>
          <t>Subtotal</t>
        </is>
      </c>
      <c r="C105" s="29">
        <f>+C104+C103</f>
        <v/>
      </c>
      <c r="D105" s="31">
        <f>C105/$C$121</f>
        <v/>
      </c>
      <c r="E105" s="34" t="n"/>
      <c r="G105" s="3" t="n"/>
    </row>
    <row r="106">
      <c r="A106" s="28" t="n">
        <v>6156103</v>
      </c>
      <c r="B106" s="2" t="inlineStr">
        <is>
          <t>ROSTELECOM PJSC COMMON STOCK RUB</t>
        </is>
      </c>
      <c r="C106" s="18" t="n">
        <v>43279.28</v>
      </c>
      <c r="D106" s="19">
        <f>C106/$C$121</f>
        <v/>
      </c>
      <c r="E106" s="20" t="inlineStr">
        <is>
          <t>0H5802S</t>
        </is>
      </c>
    </row>
    <row r="107">
      <c r="A107" s="28" t="n">
        <v>21233273216</v>
      </c>
      <c r="B107" s="2" t="inlineStr">
        <is>
          <t>VTB BANK PJSC COMMON STOCK RUB 0.01</t>
        </is>
      </c>
      <c r="C107" s="18" t="n">
        <v>41403.62</v>
      </c>
      <c r="D107" s="19">
        <f>C107/$C$121</f>
        <v/>
      </c>
      <c r="E107" s="20" t="inlineStr">
        <is>
          <t>0H5837S</t>
        </is>
      </c>
    </row>
    <row r="108">
      <c r="A108" s="28" t="n">
        <v>4003270</v>
      </c>
      <c r="B108" s="2" t="inlineStr">
        <is>
          <t>DETSKY MIR PJSC COMMON STOCK RUB 0.0004</t>
        </is>
      </c>
      <c r="C108" s="18" t="n">
        <v>33972.77</v>
      </c>
      <c r="D108" s="19">
        <f>C108/$C$121</f>
        <v/>
      </c>
      <c r="E108" s="20" t="inlineStr">
        <is>
          <t>0H5850S</t>
        </is>
      </c>
    </row>
    <row r="109">
      <c r="A109" s="28" t="n">
        <v>29773</v>
      </c>
      <c r="B109" s="2" t="inlineStr">
        <is>
          <t>POLYUS PJSC COMMON STOCK RUB</t>
        </is>
      </c>
      <c r="C109" s="18" t="n">
        <v>27802.14</v>
      </c>
      <c r="D109" s="19">
        <f>C109/$C$121</f>
        <v/>
      </c>
      <c r="E109" s="20" t="inlineStr">
        <is>
          <t>2H7182S</t>
        </is>
      </c>
    </row>
    <row r="110">
      <c r="A110" s="28" t="n">
        <v>169819</v>
      </c>
      <c r="B110" s="2" t="inlineStr">
        <is>
          <t>YANDEX NV COMMON STOCK USD 0.01</t>
        </is>
      </c>
      <c r="C110" s="18" t="n">
        <v>26351.82</v>
      </c>
      <c r="D110" s="19">
        <f>C110/$C$121</f>
        <v/>
      </c>
      <c r="E110" s="20" t="inlineStr">
        <is>
          <t>0H6379S</t>
        </is>
      </c>
    </row>
    <row r="111">
      <c r="A111" s="28" t="n">
        <v>432517</v>
      </c>
      <c r="B111" s="2" t="inlineStr">
        <is>
          <t>MD MEDICAL GROUP INVESTMENTS PLC GDR USD</t>
        </is>
      </c>
      <c r="C111" s="18" t="n">
        <v>20198.66</v>
      </c>
      <c r="D111" s="19">
        <f>C111/$C$121</f>
        <v/>
      </c>
      <c r="E111" s="20" t="inlineStr">
        <is>
          <t>0H6371S</t>
        </is>
      </c>
    </row>
    <row r="112">
      <c r="A112" s="28" t="n">
        <v>12313057</v>
      </c>
      <c r="B112" s="2" t="inlineStr">
        <is>
          <t>SISTEMA PJSFC COMMON STOCK RUB 0.09</t>
        </is>
      </c>
      <c r="C112" s="18" t="n">
        <v>15181.71</v>
      </c>
      <c r="D112" s="19">
        <f>C112/$C$121</f>
        <v/>
      </c>
      <c r="E112" s="20" t="inlineStr">
        <is>
          <t>0H5808S</t>
        </is>
      </c>
    </row>
    <row r="113">
      <c r="A113" s="28" t="n">
        <v>577525</v>
      </c>
      <c r="B113" s="2" t="inlineStr">
        <is>
          <t>FIX PRICE GROUP LTD GDR</t>
        </is>
      </c>
      <c r="C113" s="18" t="n">
        <v>4447.78</v>
      </c>
      <c r="D113" s="19">
        <f>C113/$C$121</f>
        <v/>
      </c>
      <c r="E113" s="20" t="inlineStr">
        <is>
          <t>0H6372S</t>
        </is>
      </c>
    </row>
    <row r="114">
      <c r="A114" s="28" t="n">
        <v>75226</v>
      </c>
      <c r="B114" s="2" t="inlineStr">
        <is>
          <t>TCS GROUP HOLDING PLC GDR</t>
        </is>
      </c>
      <c r="C114" s="18" t="n">
        <v>1967.94</v>
      </c>
      <c r="D114" s="19">
        <f>C114/$C$121</f>
        <v/>
      </c>
      <c r="E114" s="20" t="inlineStr">
        <is>
          <t>0H6380S</t>
        </is>
      </c>
    </row>
    <row r="115">
      <c r="A115" s="28" t="n">
        <v>275182</v>
      </c>
      <c r="B115" s="2" t="inlineStr">
        <is>
          <t>X 5 RETAIL GROUP NV-REGS GDR</t>
        </is>
      </c>
      <c r="C115" s="18" t="n">
        <v>1198.08</v>
      </c>
      <c r="D115" s="19">
        <f>C115/$C$121</f>
        <v/>
      </c>
      <c r="E115" s="20" t="inlineStr">
        <is>
          <t>0H6365S</t>
        </is>
      </c>
    </row>
    <row r="116">
      <c r="A116" s="28" t="n">
        <v>552780</v>
      </c>
      <c r="B116" s="2" t="inlineStr">
        <is>
          <t>SEVERSTAL PAO GDR USD</t>
        </is>
      </c>
      <c r="C116" s="18" t="n">
        <v>272.19</v>
      </c>
      <c r="D116" s="19">
        <f>C116/$C$121</f>
        <v/>
      </c>
      <c r="E116" s="20" t="inlineStr">
        <is>
          <t>0H6368S</t>
        </is>
      </c>
    </row>
    <row r="117">
      <c r="A117" s="28" t="n"/>
      <c r="C117" s="18" t="n"/>
      <c r="D117" s="19" t="n"/>
      <c r="E117" s="20" t="n"/>
    </row>
    <row r="118">
      <c r="A118" s="21" t="n"/>
      <c r="B118" s="21" t="inlineStr">
        <is>
          <t>Total portfolio</t>
        </is>
      </c>
      <c r="C118" s="39" t="n">
        <v>19271627.69000001</v>
      </c>
      <c r="D118" s="19">
        <f>C118/$C$121</f>
        <v/>
      </c>
    </row>
    <row r="119">
      <c r="B119" s="21" t="inlineStr">
        <is>
          <t>Net Current Assets</t>
        </is>
      </c>
      <c r="C119" s="39" t="n">
        <v>-109339.8300000001</v>
      </c>
      <c r="D119" s="19">
        <f>C119/$C$121</f>
        <v/>
      </c>
    </row>
    <row r="120">
      <c r="B120" s="3" t="n"/>
      <c r="C120" s="39" t="n"/>
      <c r="D120" s="32" t="n"/>
    </row>
    <row r="121">
      <c r="B121" s="21" t="inlineStr">
        <is>
          <t>Total Assets</t>
        </is>
      </c>
      <c r="C121" s="22">
        <f>C118+C119</f>
        <v/>
      </c>
      <c r="D121" s="19">
        <f>C121/$C$121</f>
        <v/>
      </c>
    </row>
    <row r="122">
      <c r="A12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3"/>
    <row r="124"/>
    <row r="125"/>
  </sheetData>
  <mergeCells count="2">
    <mergeCell ref="A122:E125"/>
    <mergeCell ref="A3:E6"/>
  </mergeCells>
  <pageMargins left="0.7" right="0.7" top="0.75" bottom="0.75" header="0.3" footer="0.3"/>
  <pageSetup orientation="portrait"/>
</worksheet>
</file>

<file path=xl/worksheets/sheet27.xml><?xml version="1.0" encoding="utf-8"?>
<worksheet xmlns="http://schemas.openxmlformats.org/spreadsheetml/2006/main">
  <sheetPr>
    <outlinePr summaryBelow="1" summaryRight="1"/>
    <pageSetUpPr/>
  </sheetPr>
  <dimension ref="A1:H119"/>
  <sheetViews>
    <sheetView workbookViewId="0">
      <selection activeCell="G18" sqref="G1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August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1000786.64</v>
      </c>
      <c r="B12" s="2" t="inlineStr">
        <is>
          <t>JPM GBP LIQUIDITY LVNAV X (DIST.)</t>
        </is>
      </c>
      <c r="C12" s="18" t="n">
        <v>1000786.64</v>
      </c>
      <c r="D12" s="19">
        <f>C12/$C$115</f>
        <v/>
      </c>
      <c r="E12" s="38" t="inlineStr">
        <is>
          <t>5819115</t>
        </is>
      </c>
      <c r="H12" s="40" t="n"/>
    </row>
    <row r="13">
      <c r="A13" s="28" t="n">
        <v>53763</v>
      </c>
      <c r="B13" s="2" t="inlineStr">
        <is>
          <t>AL RAJHI BANK COMMON STOCK SAR 10</t>
        </is>
      </c>
      <c r="C13" s="18" t="n">
        <v>816744.3199999999</v>
      </c>
      <c r="D13" s="19">
        <f>C13/$C$115</f>
        <v/>
      </c>
      <c r="E13" s="38" t="inlineStr">
        <is>
          <t>B12LZH9</t>
        </is>
      </c>
      <c r="H13" s="40" t="n"/>
    </row>
    <row r="14">
      <c r="A14" s="28" t="n">
        <v>90825</v>
      </c>
      <c r="B14" s="2" t="inlineStr">
        <is>
          <t>THE SAUDI NATIONAL BANK</t>
        </is>
      </c>
      <c r="C14" s="18" t="n">
        <v>683198.47</v>
      </c>
      <c r="D14" s="19">
        <f>C14/$C$115</f>
        <v/>
      </c>
      <c r="E14" s="20" t="inlineStr">
        <is>
          <t>BSHYYN1</t>
        </is>
      </c>
      <c r="H14" s="40" t="n"/>
    </row>
    <row r="15">
      <c r="A15" s="41" t="n">
        <v>84432</v>
      </c>
      <c r="B15" s="2" t="inlineStr">
        <is>
          <t>SAUDI ARABIAN OIL CO COMMON STOCK SAR</t>
        </is>
      </c>
      <c r="C15" s="33" t="n">
        <v>619120.65</v>
      </c>
      <c r="D15" s="19">
        <f>C15/$C$115</f>
        <v/>
      </c>
      <c r="E15" s="20" t="inlineStr">
        <is>
          <t>BJTM270</t>
        </is>
      </c>
      <c r="H15" s="40" t="n"/>
    </row>
    <row r="16">
      <c r="A16" s="28" t="n">
        <v>193157</v>
      </c>
      <c r="B16" s="2" t="inlineStr">
        <is>
          <t>FIRSTRAND LTD COMMON STOCK ZAR 1</t>
        </is>
      </c>
      <c r="C16" s="18" t="n">
        <v>590898.89</v>
      </c>
      <c r="D16" s="19">
        <f>C16/$C$115</f>
        <v/>
      </c>
      <c r="E16" s="38" t="inlineStr">
        <is>
          <t>6606996</t>
        </is>
      </c>
      <c r="H16" s="40" t="n"/>
    </row>
    <row r="17">
      <c r="A17" s="28" t="n">
        <v>30265</v>
      </c>
      <c r="B17" s="2" t="inlineStr">
        <is>
          <t>SAUDI BASIC INDUSTRIES CORP COMMON STOCK SAR 10</t>
        </is>
      </c>
      <c r="C17" s="18" t="n">
        <v>562935.16</v>
      </c>
      <c r="D17" s="19">
        <f>C17/$C$115</f>
        <v/>
      </c>
      <c r="E17" s="38" t="inlineStr">
        <is>
          <t>B1324D0</t>
        </is>
      </c>
      <c r="H17" s="40" t="n"/>
    </row>
    <row r="18">
      <c r="A18" s="41" t="n">
        <v>4185</v>
      </c>
      <c r="B18" s="2" t="inlineStr">
        <is>
          <t>NASPERS LTD COMMON STOCK ZAR 2</t>
        </is>
      </c>
      <c r="C18" s="33" t="n">
        <v>561113.2</v>
      </c>
      <c r="D18" s="19">
        <f>C18/$C$115</f>
        <v/>
      </c>
      <c r="E18" s="20" t="inlineStr">
        <is>
          <t>6622691</t>
        </is>
      </c>
      <c r="H18" s="40" t="n"/>
    </row>
    <row r="19">
      <c r="A19" s="28" t="n">
        <v>145911</v>
      </c>
      <c r="B19" s="2" t="inlineStr">
        <is>
          <t>QATAR NATIONAL BANK QPSC COMMON STOCK QAR 1</t>
        </is>
      </c>
      <c r="C19" s="18" t="n">
        <v>493811.87</v>
      </c>
      <c r="D19" s="19">
        <f>C19/$C$115</f>
        <v/>
      </c>
      <c r="E19" s="20" t="inlineStr">
        <is>
          <t>6148197</t>
        </is>
      </c>
      <c r="H19" s="40" t="n"/>
    </row>
    <row r="20">
      <c r="A20" s="28" t="n">
        <v>16143</v>
      </c>
      <c r="B20" s="2" t="inlineStr">
        <is>
          <t>JUMBO SA COMMON STOCK EUR 0.88</t>
        </is>
      </c>
      <c r="C20" s="18" t="n">
        <v>393791.21</v>
      </c>
      <c r="D20" s="19">
        <f>C20/$C$115</f>
        <v/>
      </c>
      <c r="E20" s="20" t="inlineStr">
        <is>
          <t>7243530</t>
        </is>
      </c>
      <c r="H20" s="40" t="n"/>
    </row>
    <row r="21">
      <c r="A21" s="28" t="n">
        <v>24353</v>
      </c>
      <c r="B21" s="2" t="inlineStr">
        <is>
          <t>RIYADH CABLES GROUP CO COMMON STOCK SAR 10</t>
        </is>
      </c>
      <c r="C21" s="18" t="n">
        <v>388407.05</v>
      </c>
      <c r="D21" s="19">
        <f>C21/$C$115</f>
        <v/>
      </c>
      <c r="E21" s="20" t="inlineStr">
        <is>
          <t>BNBPXW7</t>
        </is>
      </c>
      <c r="H21" s="40" t="n"/>
    </row>
    <row r="22">
      <c r="A22" s="28" t="n">
        <v>244040</v>
      </c>
      <c r="B22" s="2" t="inlineStr">
        <is>
          <t>EMAAR PROPERTIES PJSC COMMON STOCK AED 1</t>
        </is>
      </c>
      <c r="C22" s="18" t="n">
        <v>368605.21</v>
      </c>
      <c r="D22" s="19">
        <f>C22/$C$115</f>
        <v/>
      </c>
      <c r="E22" s="20" t="inlineStr">
        <is>
          <t>B01RM25</t>
        </is>
      </c>
      <c r="H22" s="40" t="n"/>
    </row>
    <row r="23">
      <c r="A23" s="28" t="n">
        <v>45012</v>
      </c>
      <c r="B23" s="2" t="inlineStr">
        <is>
          <t>STANDARD BANK GROUP LTD COMMON STOCK ZAR 10</t>
        </is>
      </c>
      <c r="C23" s="18" t="n">
        <v>362463.74</v>
      </c>
      <c r="D23" s="19">
        <f>C23/$C$115</f>
        <v/>
      </c>
      <c r="E23" s="20" t="inlineStr">
        <is>
          <t>B030GJ7</t>
        </is>
      </c>
      <c r="H23" s="40" t="n"/>
    </row>
    <row r="24">
      <c r="A24" s="28" t="n">
        <v>43770</v>
      </c>
      <c r="B24" s="2" t="inlineStr">
        <is>
          <t>ALINMA BANK COMMON STOCK SAR 10</t>
        </is>
      </c>
      <c r="C24" s="18" t="n">
        <v>339835.19</v>
      </c>
      <c r="D24" s="19">
        <f>C24/$C$115</f>
        <v/>
      </c>
      <c r="E24" s="20" t="inlineStr">
        <is>
          <t>B39NWT3</t>
        </is>
      </c>
      <c r="H24" s="40" t="n"/>
    </row>
    <row r="25">
      <c r="A25" s="28" t="n">
        <v>40325</v>
      </c>
      <c r="B25" s="2" t="inlineStr">
        <is>
          <t>SAUDI TELECOM CO COMMON STOCK</t>
        </is>
      </c>
      <c r="C25" s="18" t="n">
        <v>337693.64</v>
      </c>
      <c r="D25" s="19">
        <f>C25/$C$115</f>
        <v/>
      </c>
      <c r="E25" s="20" t="inlineStr">
        <is>
          <t>B12M7Q5</t>
        </is>
      </c>
      <c r="H25" s="40" t="n"/>
    </row>
    <row r="26">
      <c r="A26" s="28" t="n">
        <v>30074</v>
      </c>
      <c r="B26" s="2" t="inlineStr">
        <is>
          <t>SHOPRITE HOLDINGS LTD COMMON STOCK ZAR 113.4</t>
        </is>
      </c>
      <c r="C26" s="18" t="n">
        <v>330690.74</v>
      </c>
      <c r="D26" s="19">
        <f>C26/$C$115</f>
        <v/>
      </c>
      <c r="E26" s="20" t="inlineStr">
        <is>
          <t>6801575</t>
        </is>
      </c>
      <c r="H26" s="40" t="n"/>
    </row>
    <row r="27">
      <c r="A27" s="28" t="n">
        <v>18315</v>
      </c>
      <c r="B27" s="2" t="inlineStr">
        <is>
          <t>BID CORP LTD COMMON STOCK ZAR</t>
        </is>
      </c>
      <c r="C27" s="18" t="n">
        <v>324003.99</v>
      </c>
      <c r="D27" s="19">
        <f>C27/$C$115</f>
        <v/>
      </c>
      <c r="E27" s="20" t="inlineStr">
        <is>
          <t>BZBFKT7</t>
        </is>
      </c>
      <c r="H27" s="40" t="n"/>
    </row>
    <row r="28">
      <c r="A28" s="28" t="n">
        <v>31177</v>
      </c>
      <c r="B28" s="2" t="inlineStr">
        <is>
          <t>GOLD FIELDS LTD COMMON STOCK ZAR 50</t>
        </is>
      </c>
      <c r="C28" s="18" t="n">
        <v>315505.95</v>
      </c>
      <c r="D28" s="19">
        <f>C28/$C$115</f>
        <v/>
      </c>
      <c r="E28" s="20" t="inlineStr">
        <is>
          <t>6280215</t>
        </is>
      </c>
      <c r="H28" s="40" t="n"/>
    </row>
    <row r="29">
      <c r="A29" s="28" t="n">
        <v>1677</v>
      </c>
      <c r="B29" s="2" t="inlineStr">
        <is>
          <t>ELM CO COMMON STOCK SAR 10</t>
        </is>
      </c>
      <c r="C29" s="18" t="n">
        <v>297458.28</v>
      </c>
      <c r="D29" s="19">
        <f>C29/$C$115</f>
        <v/>
      </c>
      <c r="E29" s="20" t="inlineStr">
        <is>
          <t>BNYDSH8</t>
        </is>
      </c>
      <c r="H29" s="40" t="n"/>
    </row>
    <row r="30">
      <c r="A30" s="28" t="n">
        <v>22069</v>
      </c>
      <c r="B30" s="2" t="inlineStr">
        <is>
          <t>OPAP SA COMMON STOCK EUR 0.3</t>
        </is>
      </c>
      <c r="C30" s="18" t="n">
        <v>294504.47</v>
      </c>
      <c r="D30" s="19">
        <f>C30/$C$115</f>
        <v/>
      </c>
      <c r="E30" s="20" t="inlineStr">
        <is>
          <t>7107250</t>
        </is>
      </c>
      <c r="H30" s="40" t="n"/>
    </row>
    <row r="31">
      <c r="A31" s="28" t="n">
        <v>81600</v>
      </c>
      <c r="B31" s="2" t="inlineStr">
        <is>
          <t>EMIRATES NBD BANK PJSC COMMON STOCK AED 1</t>
        </is>
      </c>
      <c r="C31" s="18" t="n">
        <v>286650.73</v>
      </c>
      <c r="D31" s="19">
        <f>C31/$C$115</f>
        <v/>
      </c>
      <c r="E31" s="20" t="inlineStr">
        <is>
          <t>B28PFX8</t>
        </is>
      </c>
      <c r="H31" s="40" t="n"/>
    </row>
    <row r="32">
      <c r="A32" s="28" t="n">
        <v>6612</v>
      </c>
      <c r="B32" s="2" t="inlineStr">
        <is>
          <t>ARABIAN CONTRACTING SERVICES CO COMMON STOCK SAR</t>
        </is>
      </c>
      <c r="C32" s="18" t="n">
        <v>286036.46</v>
      </c>
      <c r="D32" s="19">
        <f>C32/$C$115</f>
        <v/>
      </c>
      <c r="E32" s="20" t="inlineStr">
        <is>
          <t>BP4DC81</t>
        </is>
      </c>
      <c r="H32" s="40" t="n"/>
    </row>
    <row r="33">
      <c r="A33" s="28" t="n">
        <v>14056</v>
      </c>
      <c r="B33" s="2" t="inlineStr">
        <is>
          <t>MOTOR OIL HELLAS CORINTH REFINERIES SA COMMON STOCK EUR 0.75</t>
        </is>
      </c>
      <c r="C33" s="18" t="n">
        <v>282684.26</v>
      </c>
      <c r="D33" s="19">
        <f>C33/$C$115</f>
        <v/>
      </c>
      <c r="E33" s="20" t="inlineStr">
        <is>
          <t>5996234</t>
        </is>
      </c>
      <c r="H33" s="40" t="n"/>
    </row>
    <row r="34">
      <c r="A34" s="28" t="n">
        <v>362649</v>
      </c>
      <c r="B34" s="2" t="inlineStr">
        <is>
          <t>LUKOIL PJSC COMMON STOCK RUB 0.025 RUB</t>
        </is>
      </c>
      <c r="C34" s="18" t="n">
        <v>153514.83</v>
      </c>
      <c r="D34" s="19">
        <f>C34/$C$115</f>
        <v/>
      </c>
      <c r="E34" s="20" t="inlineStr">
        <is>
          <t>2H6442S</t>
        </is>
      </c>
      <c r="H34" s="40" t="n"/>
    </row>
    <row r="35">
      <c r="A35" s="28" t="n">
        <v>262047</v>
      </c>
      <c r="B35" s="2" t="inlineStr">
        <is>
          <t>LUKOIL PJSC COMMON STOCK RUB</t>
        </is>
      </c>
      <c r="C35" s="18" t="n">
        <v>128958.97</v>
      </c>
      <c r="D35" s="19">
        <f>C35/$C$115</f>
        <v/>
      </c>
      <c r="E35" s="20" t="inlineStr">
        <is>
          <t>0H5797S</t>
        </is>
      </c>
      <c r="H35" s="40" t="n"/>
    </row>
    <row r="36" customFormat="1" s="35">
      <c r="A36" s="30" t="n"/>
      <c r="B36" s="27" t="inlineStr">
        <is>
          <t>Subtotal</t>
        </is>
      </c>
      <c r="C36" s="29">
        <f>+C35+C34</f>
        <v/>
      </c>
      <c r="D36" s="31">
        <f>C36/$C$115</f>
        <v/>
      </c>
      <c r="E36" s="34" t="n"/>
      <c r="G36" s="3" t="n"/>
    </row>
    <row r="37">
      <c r="A37" s="41" t="n">
        <v>309743</v>
      </c>
      <c r="B37" s="2" t="inlineStr">
        <is>
          <t>ADNOC DRILLING CO PJSC COMMON STOCK AED</t>
        </is>
      </c>
      <c r="C37" s="33" t="n">
        <v>272854.1</v>
      </c>
      <c r="D37" s="19">
        <f>C37/$C$115</f>
        <v/>
      </c>
      <c r="E37" s="38" t="inlineStr">
        <is>
          <t>BN12D39</t>
        </is>
      </c>
      <c r="H37" s="40" t="n"/>
    </row>
    <row r="38">
      <c r="A38" s="28" t="n">
        <v>95185</v>
      </c>
      <c r="B38" s="2" t="inlineStr">
        <is>
          <t>SANLAM LTD COMMON STOCK ZAR 1</t>
        </is>
      </c>
      <c r="C38" s="18" t="n">
        <v>269248.33</v>
      </c>
      <c r="D38" s="19">
        <f>C38/$C$115</f>
        <v/>
      </c>
      <c r="E38" s="20" t="inlineStr">
        <is>
          <t>B0L6750</t>
        </is>
      </c>
      <c r="H38" s="40" t="n"/>
    </row>
    <row r="39">
      <c r="A39" s="28" t="n">
        <v>35367</v>
      </c>
      <c r="B39" s="2" t="inlineStr">
        <is>
          <t>ABSA GROUP LTD</t>
        </is>
      </c>
      <c r="C39" s="18" t="n">
        <v>268700.04</v>
      </c>
      <c r="D39" s="19">
        <f>C39/$C$115</f>
        <v/>
      </c>
      <c r="E39" s="20" t="inlineStr">
        <is>
          <t>BFX05H3</t>
        </is>
      </c>
      <c r="H39" s="40" t="n"/>
    </row>
    <row r="40">
      <c r="A40" s="28" t="n">
        <v>22972</v>
      </c>
      <c r="B40" s="2" t="inlineStr">
        <is>
          <t>CLICKS GROUP LTD COMMON STOCK ZAR 1</t>
        </is>
      </c>
      <c r="C40" s="18" t="n">
        <v>261856.16</v>
      </c>
      <c r="D40" s="19">
        <f>C40/$C$115</f>
        <v/>
      </c>
      <c r="E40" s="20" t="inlineStr">
        <is>
          <t>6105578</t>
        </is>
      </c>
      <c r="H40" s="40" t="n"/>
    </row>
    <row r="41">
      <c r="A41" s="28" t="n">
        <v>226609</v>
      </c>
      <c r="B41" s="2" t="inlineStr">
        <is>
          <t>ALDAR PROPERTIES PJSC COMMON STOCK AED 1</t>
        </is>
      </c>
      <c r="C41" s="18" t="n">
        <v>256099.09</v>
      </c>
      <c r="D41" s="19">
        <f>C41/$C$115</f>
        <v/>
      </c>
      <c r="E41" s="20" t="inlineStr">
        <is>
          <t>B0LX3Y2</t>
        </is>
      </c>
      <c r="H41" s="40" t="n"/>
    </row>
    <row r="42">
      <c r="A42" s="41" t="n">
        <v>38596</v>
      </c>
      <c r="B42" s="2" t="inlineStr">
        <is>
          <t>RIYAD BANK COMMON STOCK SAR 10</t>
        </is>
      </c>
      <c r="C42" s="18" t="n">
        <v>245253.19</v>
      </c>
      <c r="D42" s="19">
        <f>C42/$C$115</f>
        <v/>
      </c>
      <c r="E42" s="20" t="inlineStr">
        <is>
          <t>B12LZW4</t>
        </is>
      </c>
      <c r="H42" s="40" t="n"/>
    </row>
    <row r="43">
      <c r="A43" s="28" t="n">
        <v>5994</v>
      </c>
      <c r="B43" s="2" t="inlineStr">
        <is>
          <t>ARABIAN DRILLING CO COMMON STOCK SAR 10</t>
        </is>
      </c>
      <c r="C43" s="18" t="n">
        <v>232816.56</v>
      </c>
      <c r="D43" s="19">
        <f>C43/$C$115</f>
        <v/>
      </c>
      <c r="E43" s="38" t="inlineStr">
        <is>
          <t>BPNZYP9</t>
        </is>
      </c>
      <c r="H43" s="40" t="n"/>
    </row>
    <row r="44">
      <c r="A44" s="28" t="n">
        <v>123763</v>
      </c>
      <c r="B44" s="2" t="inlineStr">
        <is>
          <t>ABU DHABI COMMERCIAL BANK PJSC COMMON STOCK AED 1</t>
        </is>
      </c>
      <c r="C44" s="18" t="n">
        <v>229481.01</v>
      </c>
      <c r="D44" s="19">
        <f>C44/$C$115</f>
        <v/>
      </c>
      <c r="E44" s="38" t="inlineStr">
        <is>
          <t>6545464</t>
        </is>
      </c>
      <c r="H44" s="40" t="n"/>
    </row>
    <row r="45">
      <c r="A45" s="28" t="n">
        <v>8860909</v>
      </c>
      <c r="B45" s="2" t="inlineStr">
        <is>
          <t>GAZPROM PJSC COMMON STOCK RUB</t>
        </is>
      </c>
      <c r="C45" s="18" t="n">
        <v>201383.85</v>
      </c>
      <c r="D45" s="19">
        <f>C45/$C$115</f>
        <v/>
      </c>
      <c r="E45" s="38" t="inlineStr">
        <is>
          <t>0H5796S</t>
        </is>
      </c>
      <c r="H45" s="40" t="n"/>
    </row>
    <row r="46">
      <c r="A46" s="28" t="n">
        <v>5365084</v>
      </c>
      <c r="B46" s="2" t="inlineStr">
        <is>
          <t>GAZPROM PJSC ADR</t>
        </is>
      </c>
      <c r="C46" s="18" t="n">
        <v>24616.34</v>
      </c>
      <c r="D46" s="19">
        <f>C46/$C$115</f>
        <v/>
      </c>
      <c r="E46" s="20" t="inlineStr">
        <is>
          <t>0H6364S</t>
        </is>
      </c>
      <c r="H46" s="40" t="n"/>
    </row>
    <row r="47" customFormat="1" s="35">
      <c r="A47" s="30" t="n"/>
      <c r="B47" s="27" t="inlineStr">
        <is>
          <t>Subtotal</t>
        </is>
      </c>
      <c r="C47" s="29">
        <f>+C46+C45</f>
        <v/>
      </c>
      <c r="D47" s="31">
        <f>C47/$C$115</f>
        <v/>
      </c>
      <c r="E47" s="34" t="n"/>
      <c r="G47" s="3" t="n"/>
    </row>
    <row r="48">
      <c r="A48" s="41" t="n">
        <v>14455036</v>
      </c>
      <c r="B48" s="2" t="inlineStr">
        <is>
          <t>SBERBANK OF RUSSIA PJSC PREFERENCE RUB 3</t>
        </is>
      </c>
      <c r="C48" s="33" t="n">
        <v>181227.12</v>
      </c>
      <c r="D48" s="19">
        <f>C48/$C$115</f>
        <v/>
      </c>
      <c r="E48" s="20" t="inlineStr">
        <is>
          <t>0H5856S</t>
        </is>
      </c>
      <c r="H48" s="40" t="n"/>
    </row>
    <row r="49">
      <c r="A49" s="28" t="n">
        <v>2355925</v>
      </c>
      <c r="B49" s="2" t="inlineStr">
        <is>
          <t>SBERBANK OF RUSSIA PJSC</t>
        </is>
      </c>
      <c r="C49" s="18" t="n">
        <v>29323.47</v>
      </c>
      <c r="D49" s="19">
        <f>C49/$C$115</f>
        <v/>
      </c>
      <c r="E49" s="20" t="inlineStr">
        <is>
          <t>0H5855S</t>
        </is>
      </c>
      <c r="H49" s="40" t="n"/>
    </row>
    <row r="50" customFormat="1" s="35">
      <c r="A50" s="30" t="n"/>
      <c r="B50" s="27" t="inlineStr">
        <is>
          <t>Subtotal</t>
        </is>
      </c>
      <c r="C50" s="29">
        <f>+C49+C48</f>
        <v/>
      </c>
      <c r="D50" s="31">
        <f>C50/$C$115</f>
        <v/>
      </c>
      <c r="E50" s="34" t="n"/>
      <c r="G50" s="3" t="n"/>
    </row>
    <row r="51">
      <c r="A51" s="28" t="n">
        <v>13199</v>
      </c>
      <c r="B51" s="2" t="inlineStr">
        <is>
          <t>UNITED INTERNATIONAL TRANSPORTATION CO COMMON STOCK SAR 10</t>
        </is>
      </c>
      <c r="C51" s="18" t="n">
        <v>203846.15</v>
      </c>
      <c r="D51" s="19">
        <f>C51/$C$115</f>
        <v/>
      </c>
      <c r="E51" s="20" t="inlineStr">
        <is>
          <t>B2493D0</t>
        </is>
      </c>
    </row>
    <row r="52">
      <c r="A52" s="28" t="n">
        <v>16665</v>
      </c>
      <c r="B52" s="2" t="inlineStr">
        <is>
          <t>BIDVEST GROUP LTD/THE COMMON STOCK ZAR 5</t>
        </is>
      </c>
      <c r="C52" s="18" t="n">
        <v>197575.54</v>
      </c>
      <c r="D52" s="19">
        <f>C52/$C$115</f>
        <v/>
      </c>
      <c r="E52" s="20" t="inlineStr">
        <is>
          <t>6100089</t>
        </is>
      </c>
    </row>
    <row r="53">
      <c r="A53" s="28" t="n">
        <v>6125</v>
      </c>
      <c r="B53" s="2" t="inlineStr">
        <is>
          <t>LEEJAM SPORTS CO JSC COMMON STOCK SAR 10</t>
        </is>
      </c>
      <c r="C53" s="18" t="n">
        <v>197180.04</v>
      </c>
      <c r="D53" s="19">
        <f>C53/$C$115</f>
        <v/>
      </c>
      <c r="E53" s="20" t="inlineStr">
        <is>
          <t>BF12ZV5</t>
        </is>
      </c>
    </row>
    <row r="54">
      <c r="A54" s="28" t="n">
        <v>71649</v>
      </c>
      <c r="B54" s="2" t="inlineStr">
        <is>
          <t>INDUSTRIES QATAR QSC COMMON STOCK QAR 1</t>
        </is>
      </c>
      <c r="C54" s="18" t="n">
        <v>195105.88</v>
      </c>
      <c r="D54" s="19">
        <f>C54/$C$115</f>
        <v/>
      </c>
      <c r="E54" s="20" t="inlineStr">
        <is>
          <t>6673570</t>
        </is>
      </c>
    </row>
    <row r="55">
      <c r="A55" s="28" t="n">
        <v>2526</v>
      </c>
      <c r="B55" s="2" t="inlineStr">
        <is>
          <t>KRUK SA COMMON STOCK PLN 1</t>
        </is>
      </c>
      <c r="C55" s="18" t="n">
        <v>193480.12</v>
      </c>
      <c r="D55" s="19">
        <f>C55/$C$115</f>
        <v/>
      </c>
      <c r="E55" s="20" t="inlineStr">
        <is>
          <t>B4PTLY0</t>
        </is>
      </c>
    </row>
    <row r="56">
      <c r="A56" s="28" t="n">
        <v>13785</v>
      </c>
      <c r="B56" s="2" t="inlineStr">
        <is>
          <t>ANGLOGOLD ASHANTI LTD COMMON STOCK ZAR 25</t>
        </is>
      </c>
      <c r="C56" s="18" t="n">
        <v>185429.87</v>
      </c>
      <c r="D56" s="19">
        <f>C56/$C$115</f>
        <v/>
      </c>
      <c r="E56" s="20" t="inlineStr">
        <is>
          <t>6565655</t>
        </is>
      </c>
    </row>
    <row r="57">
      <c r="A57" s="28" t="n">
        <v>256601</v>
      </c>
      <c r="B57" s="2" t="inlineStr">
        <is>
          <t>SALIK CO PJSC COMMON STOCK AED 0.01</t>
        </is>
      </c>
      <c r="C57" s="18" t="n">
        <v>183589.44</v>
      </c>
      <c r="D57" s="19">
        <f>C57/$C$115</f>
        <v/>
      </c>
      <c r="E57" s="20" t="inlineStr">
        <is>
          <t>BJN5952</t>
        </is>
      </c>
    </row>
    <row r="58">
      <c r="A58" s="28" t="n">
        <v>19263</v>
      </c>
      <c r="B58" s="2" t="inlineStr">
        <is>
          <t>ETIHAD ETISALAT CO COMMON STOCK SAR 10</t>
        </is>
      </c>
      <c r="C58" s="18" t="n">
        <v>182998.32</v>
      </c>
      <c r="D58" s="19">
        <f>C58/$C$115</f>
        <v/>
      </c>
      <c r="E58" s="20" t="inlineStr">
        <is>
          <t>B12LR51</t>
        </is>
      </c>
    </row>
    <row r="59">
      <c r="A59" s="28" t="n">
        <v>40456</v>
      </c>
      <c r="B59" s="2" t="inlineStr">
        <is>
          <t>VODACOM GROUP LTD COMMON STOCK ZAR</t>
        </is>
      </c>
      <c r="C59" s="18" t="n">
        <v>181865.37</v>
      </c>
      <c r="D59" s="19">
        <f>C59/$C$115</f>
        <v/>
      </c>
      <c r="E59" s="20" t="inlineStr">
        <is>
          <t>B65B4D0</t>
        </is>
      </c>
    </row>
    <row r="60">
      <c r="A60" s="28" t="n">
        <v>49478</v>
      </c>
      <c r="B60" s="2" t="inlineStr">
        <is>
          <t>BANCA TRANSILVANIA SA COMMON STOCK RON 1</t>
        </is>
      </c>
      <c r="C60" s="18" t="n">
        <v>180148.14</v>
      </c>
      <c r="D60" s="19">
        <f>C60/$C$115</f>
        <v/>
      </c>
      <c r="E60" s="20" t="inlineStr">
        <is>
          <t>5393307</t>
        </is>
      </c>
    </row>
    <row r="61">
      <c r="A61" s="28" t="n">
        <v>144384</v>
      </c>
      <c r="B61" s="2" t="inlineStr">
        <is>
          <t>DUBAI ISLAMIC BANK PJSC COMMON STOCK AED 1</t>
        </is>
      </c>
      <c r="C61" s="18" t="n">
        <v>174961.83</v>
      </c>
      <c r="D61" s="19">
        <f>C61/$C$115</f>
        <v/>
      </c>
      <c r="E61" s="20" t="inlineStr">
        <is>
          <t>6283452</t>
        </is>
      </c>
    </row>
    <row r="62">
      <c r="A62" s="28" t="n">
        <v>7386</v>
      </c>
      <c r="B62" s="2" t="inlineStr">
        <is>
          <t>MOUWASAT MEDICAL SERVICES CO COMMON STOCK SAR 10</t>
        </is>
      </c>
      <c r="C62" s="18" t="n">
        <v>170949.34</v>
      </c>
      <c r="D62" s="19">
        <f>C62/$C$115</f>
        <v/>
      </c>
      <c r="E62" s="20" t="inlineStr">
        <is>
          <t>B403QG4</t>
        </is>
      </c>
    </row>
    <row r="63">
      <c r="A63" s="28" t="n">
        <v>22211</v>
      </c>
      <c r="B63" s="2" t="inlineStr">
        <is>
          <t>SAHARA INTERNATIONAL PETROCHEMICAL CO COMMON STOCK SAR 10</t>
        </is>
      </c>
      <c r="C63" s="18" t="n">
        <v>170345.66</v>
      </c>
      <c r="D63" s="19">
        <f>C63/$C$115</f>
        <v/>
      </c>
      <c r="E63" s="20" t="inlineStr">
        <is>
          <t>B1C1NH5</t>
        </is>
      </c>
    </row>
    <row r="64">
      <c r="A64" s="28" t="n">
        <v>55575</v>
      </c>
      <c r="B64" s="2" t="inlineStr">
        <is>
          <t>AVI LTD COMMON STOCK ZAR 5</t>
        </is>
      </c>
      <c r="C64" s="18" t="n">
        <v>167951.56</v>
      </c>
      <c r="D64" s="19">
        <f>C64/$C$115</f>
        <v/>
      </c>
      <c r="E64" s="20" t="inlineStr">
        <is>
          <t>6040958</t>
        </is>
      </c>
    </row>
    <row r="65">
      <c r="A65" s="28" t="n">
        <v>292031</v>
      </c>
      <c r="B65" s="2" t="inlineStr">
        <is>
          <t>DUBAI ELECTRICITY &amp; WATER AU</t>
        </is>
      </c>
      <c r="C65" s="18" t="n">
        <v>159997.89</v>
      </c>
      <c r="D65" s="19">
        <f>C65/$C$115</f>
        <v/>
      </c>
      <c r="E65" s="20" t="inlineStr">
        <is>
          <t>BJLTVJ4</t>
        </is>
      </c>
    </row>
    <row r="66">
      <c r="A66" s="28" t="n">
        <v>300201</v>
      </c>
      <c r="B66" s="2" t="inlineStr">
        <is>
          <t>OLD MUTUAL LTD COMMON STOCK ZAR</t>
        </is>
      </c>
      <c r="C66" s="18" t="n">
        <v>158774.38</v>
      </c>
      <c r="D66" s="19">
        <f>C66/$C$115</f>
        <v/>
      </c>
      <c r="E66" s="20" t="inlineStr">
        <is>
          <t>BDVPYN5</t>
        </is>
      </c>
    </row>
    <row r="67">
      <c r="A67" s="28" t="n">
        <v>196322</v>
      </c>
      <c r="B67" s="2" t="inlineStr">
        <is>
          <t>QATAR GAS TRANSPORT CO LTD COMMON STOCK QAR 1</t>
        </is>
      </c>
      <c r="C67" s="18" t="n">
        <v>157783.7</v>
      </c>
      <c r="D67" s="19">
        <f>C67/$C$115</f>
        <v/>
      </c>
      <c r="E67" s="20" t="inlineStr">
        <is>
          <t>B0MLBC9</t>
        </is>
      </c>
    </row>
    <row r="68">
      <c r="A68" s="28" t="n">
        <v>49840</v>
      </c>
      <c r="B68" s="2" t="inlineStr">
        <is>
          <t>JARIR MARKETING CO COMMON STOCK SAR 1</t>
        </is>
      </c>
      <c r="C68" s="18" t="n">
        <v>154785.34</v>
      </c>
      <c r="D68" s="19">
        <f>C68/$C$115</f>
        <v/>
      </c>
      <c r="E68" s="20" t="inlineStr">
        <is>
          <t>B128FM5</t>
        </is>
      </c>
    </row>
    <row r="69">
      <c r="A69" s="28" t="n">
        <v>20423</v>
      </c>
      <c r="B69" s="2" t="inlineStr">
        <is>
          <t>SAUDI AWWAL BANK COMMON STOCK SAR 10</t>
        </is>
      </c>
      <c r="C69" s="18" t="n">
        <v>152550.39</v>
      </c>
      <c r="D69" s="19">
        <f>C69/$C$115</f>
        <v/>
      </c>
      <c r="E69" s="20" t="inlineStr">
        <is>
          <t>B12LSY7</t>
        </is>
      </c>
    </row>
    <row r="70">
      <c r="A70" s="28" t="n">
        <v>18372</v>
      </c>
      <c r="B70" s="2" t="inlineStr">
        <is>
          <t>HUMANSOFT HOLDING CO KSC COMMON STOCK KWD 100</t>
        </is>
      </c>
      <c r="C70" s="18" t="n">
        <v>151783.39</v>
      </c>
      <c r="D70" s="19">
        <f>C70/$C$115</f>
        <v/>
      </c>
      <c r="E70" s="20" t="inlineStr">
        <is>
          <t>B13BYX7</t>
        </is>
      </c>
    </row>
    <row r="71">
      <c r="A71" s="28" t="n">
        <v>66726</v>
      </c>
      <c r="B71" s="2" t="inlineStr">
        <is>
          <t>ABU DHABI ISLAMIC BANK PJSC COMMON STOCK AED 1</t>
        </is>
      </c>
      <c r="C71" s="18" t="n">
        <v>149385.33</v>
      </c>
      <c r="D71" s="19">
        <f>C71/$C$115</f>
        <v/>
      </c>
      <c r="E71" s="20" t="inlineStr">
        <is>
          <t>6001728</t>
        </is>
      </c>
    </row>
    <row r="72">
      <c r="A72" s="28" t="n">
        <v>12548</v>
      </c>
      <c r="B72" s="2" t="inlineStr">
        <is>
          <t>HELLENIC TELECOMMUNICATIONS ORGANIZATION SA COMMON STOCK EUR 2.83</t>
        </is>
      </c>
      <c r="C72" s="18" t="n">
        <v>148318.52</v>
      </c>
      <c r="D72" s="19">
        <f>C72/$C$115</f>
        <v/>
      </c>
      <c r="E72" s="20" t="inlineStr">
        <is>
          <t>5051605</t>
        </is>
      </c>
    </row>
    <row r="73">
      <c r="A73" s="28" t="n">
        <v>49360</v>
      </c>
      <c r="B73" s="2" t="inlineStr">
        <is>
          <t>FIRST ABU DHABI BANK PJSC COMMON STOCK AED 1</t>
        </is>
      </c>
      <c r="C73" s="18" t="n">
        <v>144867.51</v>
      </c>
      <c r="D73" s="19">
        <f>C73/$C$115</f>
        <v/>
      </c>
      <c r="E73" s="20" t="inlineStr">
        <is>
          <t>6624471</t>
        </is>
      </c>
    </row>
    <row r="74">
      <c r="A74" s="28" t="n">
        <v>1268490</v>
      </c>
      <c r="B74" s="2" t="inlineStr">
        <is>
          <t>NOVATEK PJSC COMMON STOCK RUB 0.1</t>
        </is>
      </c>
      <c r="C74" s="18" t="n">
        <v>132223.99</v>
      </c>
      <c r="D74" s="19">
        <f>C74/$C$115</f>
        <v/>
      </c>
      <c r="E74" s="20" t="inlineStr">
        <is>
          <t>2H6464S</t>
        </is>
      </c>
    </row>
    <row r="75">
      <c r="A75" s="28" t="n">
        <v>103572</v>
      </c>
      <c r="B75" s="2" t="inlineStr">
        <is>
          <t>NOVATEK PJSC COMMON STOCK RUB 0.1</t>
        </is>
      </c>
      <c r="C75" s="18" t="n">
        <v>12550.87</v>
      </c>
      <c r="D75" s="19">
        <f>C75/$C$115</f>
        <v/>
      </c>
      <c r="E75" s="20" t="inlineStr">
        <is>
          <t>0H5828S</t>
        </is>
      </c>
    </row>
    <row r="76" customFormat="1" s="35">
      <c r="A76" s="30" t="n"/>
      <c r="B76" s="27" t="inlineStr">
        <is>
          <t>Subtotal</t>
        </is>
      </c>
      <c r="C76" s="29">
        <f>+C75+C74</f>
        <v/>
      </c>
      <c r="D76" s="31">
        <f>C76/$C$115</f>
        <v/>
      </c>
      <c r="E76" s="34" t="n"/>
      <c r="G76" s="3" t="n"/>
    </row>
    <row r="77">
      <c r="A77" s="28" t="n">
        <v>60427</v>
      </c>
      <c r="B77" s="2" t="inlineStr">
        <is>
          <t>OOREDOO QPSC COMMON STOCK QAR 1</t>
        </is>
      </c>
      <c r="C77" s="18" t="n">
        <v>143455.02</v>
      </c>
      <c r="D77" s="19">
        <f>C77/$C$115</f>
        <v/>
      </c>
      <c r="E77" s="20" t="inlineStr">
        <is>
          <t>6158174</t>
        </is>
      </c>
    </row>
    <row r="78">
      <c r="A78" s="28" t="n">
        <v>5652</v>
      </c>
      <c r="B78" s="2" t="inlineStr">
        <is>
          <t>KOMERCNI BANKA AS COMMON STOCK CZK 100</t>
        </is>
      </c>
      <c r="C78" s="18" t="n">
        <v>141206.67</v>
      </c>
      <c r="D78" s="19">
        <f>C78/$C$115</f>
        <v/>
      </c>
      <c r="E78" s="20" t="inlineStr">
        <is>
          <t>4519449</t>
        </is>
      </c>
    </row>
    <row r="79">
      <c r="A79" s="28" t="n">
        <v>71192</v>
      </c>
      <c r="B79" s="2" t="inlineStr">
        <is>
          <t>MMC NORILSK NICKEL PJSC COMMON STOCK RUB 1</t>
        </is>
      </c>
      <c r="C79" s="18" t="n">
        <v>135801.48</v>
      </c>
      <c r="D79" s="19">
        <f>C79/$C$115</f>
        <v/>
      </c>
      <c r="E79" s="20" t="inlineStr">
        <is>
          <t>0H5804S</t>
        </is>
      </c>
    </row>
    <row r="80">
      <c r="A80" s="28" t="n">
        <v>33471</v>
      </c>
      <c r="B80" s="2" t="inlineStr">
        <is>
          <t>IMPALA PLATINUM HOLDINGS LTD COMMON STOCK ZAR 0</t>
        </is>
      </c>
      <c r="C80" s="18" t="n">
        <v>135747.81</v>
      </c>
      <c r="D80" s="19">
        <f>C80/$C$115</f>
        <v/>
      </c>
      <c r="E80" s="20" t="inlineStr">
        <is>
          <t>B1FFT76</t>
        </is>
      </c>
    </row>
    <row r="81">
      <c r="A81" s="28" t="n">
        <v>43702</v>
      </c>
      <c r="B81" s="2" t="inlineStr">
        <is>
          <t>WOOLWORTHS HOLDINGS LTD/SOUTH AFRICA COMMON STOCK ZAR 0</t>
        </is>
      </c>
      <c r="C81" s="18" t="n">
        <v>135112.27</v>
      </c>
      <c r="D81" s="19">
        <f>C81/$C$115</f>
        <v/>
      </c>
      <c r="E81" s="20" t="inlineStr">
        <is>
          <t>B06KZ97</t>
        </is>
      </c>
    </row>
    <row r="82">
      <c r="A82" s="28" t="n">
        <v>78324</v>
      </c>
      <c r="B82" s="2" t="inlineStr">
        <is>
          <t>OUTSURANCE GROUP LTD COMMON STOCK ZAR 0.0001</t>
        </is>
      </c>
      <c r="C82" s="18" t="n">
        <v>130477.51</v>
      </c>
      <c r="D82" s="19">
        <f>C82/$C$115</f>
        <v/>
      </c>
      <c r="E82" s="20" t="inlineStr">
        <is>
          <t>BN6QSM0</t>
        </is>
      </c>
    </row>
    <row r="83">
      <c r="A83" s="28" t="n">
        <v>498960</v>
      </c>
      <c r="B83" s="2" t="inlineStr">
        <is>
          <t>AL ANSARI FINANCIAL SERVICES PJSC COMMON STOCK AED</t>
        </is>
      </c>
      <c r="C83" s="18" t="n">
        <v>127572.72</v>
      </c>
      <c r="D83" s="19">
        <f>C83/$C$115</f>
        <v/>
      </c>
      <c r="E83" s="20" t="inlineStr">
        <is>
          <t>BMWB101</t>
        </is>
      </c>
    </row>
    <row r="84">
      <c r="A84" s="28" t="n">
        <v>174489</v>
      </c>
      <c r="B84" s="2" t="inlineStr">
        <is>
          <t>FERTIGLOBE PLC COMMON STOCK</t>
        </is>
      </c>
      <c r="C84" s="18" t="n">
        <v>126715.54</v>
      </c>
      <c r="D84" s="19">
        <f>C84/$C$115</f>
        <v/>
      </c>
      <c r="E84" s="20" t="inlineStr">
        <is>
          <t>BMXCL70</t>
        </is>
      </c>
    </row>
    <row r="85">
      <c r="A85" s="28" t="n">
        <v>99566</v>
      </c>
      <c r="B85" s="2" t="inlineStr">
        <is>
          <t>SIBANYE STILLWATER LTD COMMON STOCK ZAR</t>
        </is>
      </c>
      <c r="C85" s="18" t="n">
        <v>119262.66</v>
      </c>
      <c r="D85" s="19">
        <f>C85/$C$115</f>
        <v/>
      </c>
      <c r="E85" s="20" t="inlineStr">
        <is>
          <t>BL0L913</t>
        </is>
      </c>
    </row>
    <row r="86">
      <c r="A86" s="28" t="n">
        <v>24782</v>
      </c>
      <c r="B86" s="2" t="inlineStr">
        <is>
          <t>ARABIAN CENTRES CO LTD COMMON STOCK SAR 10</t>
        </is>
      </c>
      <c r="C86" s="18" t="n">
        <v>116697.58</v>
      </c>
      <c r="D86" s="19">
        <f>C86/$C$115</f>
        <v/>
      </c>
      <c r="E86" s="20" t="inlineStr">
        <is>
          <t>BKBF694</t>
        </is>
      </c>
    </row>
    <row r="87">
      <c r="A87" s="28" t="n">
        <v>153691</v>
      </c>
      <c r="B87" s="2" t="inlineStr">
        <is>
          <t>ADNOC GAS PLC</t>
        </is>
      </c>
      <c r="C87" s="18" t="n">
        <v>112932.69</v>
      </c>
      <c r="D87" s="19">
        <f>C87/$C$115</f>
        <v/>
      </c>
      <c r="E87" s="20" t="inlineStr">
        <is>
          <t>BPJLW35</t>
        </is>
      </c>
    </row>
    <row r="88">
      <c r="A88" s="28" t="n">
        <v>133931</v>
      </c>
      <c r="B88" s="2" t="inlineStr">
        <is>
          <t>ADNOC LOGISTICS &amp; SERVICES COMMON STOCK AED</t>
        </is>
      </c>
      <c r="C88" s="18" t="n">
        <v>107621.2</v>
      </c>
      <c r="D88" s="19">
        <f>C88/$C$115</f>
        <v/>
      </c>
      <c r="E88" s="20" t="inlineStr">
        <is>
          <t>6H9334S</t>
        </is>
      </c>
    </row>
    <row r="89">
      <c r="A89" s="28" t="n">
        <v>2041744</v>
      </c>
      <c r="B89" s="2" t="inlineStr">
        <is>
          <t>ROSNEFT OIL CO PJSC COMMON STOCK RUB 0.01</t>
        </is>
      </c>
      <c r="C89" s="18" t="n">
        <v>59978.47</v>
      </c>
      <c r="D89" s="19">
        <f>C89/$C$115</f>
        <v/>
      </c>
      <c r="E89" s="20" t="inlineStr">
        <is>
          <t>0H5827S</t>
        </is>
      </c>
    </row>
    <row r="90">
      <c r="A90" s="28" t="n">
        <v>1677948</v>
      </c>
      <c r="B90" s="2" t="inlineStr">
        <is>
          <t>ROSNEFT OIL CO PJSC COMMON STOCK RUB</t>
        </is>
      </c>
      <c r="C90" s="18" t="n">
        <v>42451.28</v>
      </c>
      <c r="D90" s="19">
        <f>C90/$C$115</f>
        <v/>
      </c>
      <c r="E90" s="20" t="inlineStr">
        <is>
          <t>2H7674S</t>
        </is>
      </c>
    </row>
    <row r="91" customFormat="1" s="35">
      <c r="A91" s="30" t="n"/>
      <c r="B91" s="27" t="inlineStr">
        <is>
          <t>Subtotal</t>
        </is>
      </c>
      <c r="C91" s="29">
        <f>+C90+C89</f>
        <v/>
      </c>
      <c r="D91" s="31">
        <f>C91/$C$115</f>
        <v/>
      </c>
      <c r="E91" s="34" t="n"/>
      <c r="G91" s="3" t="n"/>
    </row>
    <row r="92">
      <c r="A92" s="28" t="n">
        <v>4733</v>
      </c>
      <c r="B92" s="2" t="inlineStr">
        <is>
          <t>ANGLO AMERICAN PLC COMMON STOCK GBP 0.54945</t>
        </is>
      </c>
      <c r="C92" s="18" t="n">
        <v>99393</v>
      </c>
      <c r="D92" s="19">
        <f>C92/$C$115</f>
        <v/>
      </c>
      <c r="E92" s="20" t="inlineStr">
        <is>
          <t>B1XZS82</t>
        </is>
      </c>
    </row>
    <row r="93">
      <c r="A93" s="28" t="n">
        <v>20379</v>
      </c>
      <c r="B93" s="2" t="inlineStr">
        <is>
          <t>MOTUS HOLDINGS LTD COMMON STOCK ZAR</t>
        </is>
      </c>
      <c r="C93" s="18" t="n">
        <v>85784.91</v>
      </c>
      <c r="D93" s="19">
        <f>C93/$C$115</f>
        <v/>
      </c>
      <c r="E93" s="20" t="inlineStr">
        <is>
          <t>BDRN3H0</t>
        </is>
      </c>
    </row>
    <row r="94">
      <c r="A94" s="28" t="n">
        <v>3657350</v>
      </c>
      <c r="B94" s="2" t="inlineStr">
        <is>
          <t>NOVOLIPETSK STEEL PJSC COMMON STOCK RUB</t>
        </is>
      </c>
      <c r="C94" s="18" t="n">
        <v>56328.65</v>
      </c>
      <c r="D94" s="19">
        <f>C94/$C$115</f>
        <v/>
      </c>
      <c r="E94" s="20" t="inlineStr">
        <is>
          <t>2H7675S</t>
        </is>
      </c>
    </row>
    <row r="95">
      <c r="A95" s="28" t="n">
        <v>180877</v>
      </c>
      <c r="B95" s="2" t="inlineStr">
        <is>
          <t>MAGNIT PJSC COMMON STOCK RUB 0.01</t>
        </is>
      </c>
      <c r="C95" s="18" t="n">
        <v>53479.63</v>
      </c>
      <c r="D95" s="19">
        <f>C95/$C$115</f>
        <v/>
      </c>
      <c r="E95" s="20" t="inlineStr">
        <is>
          <t>0H5813S</t>
        </is>
      </c>
    </row>
    <row r="96">
      <c r="A96" s="28" t="n">
        <v>1265335</v>
      </c>
      <c r="B96" s="2" t="inlineStr">
        <is>
          <t>GAZPROM NEFT PJSC COMMON STOCK RUB</t>
        </is>
      </c>
      <c r="C96" s="18" t="n">
        <v>48327.82</v>
      </c>
      <c r="D96" s="19">
        <f>C96/$C$115</f>
        <v/>
      </c>
      <c r="E96" s="20" t="inlineStr">
        <is>
          <t>0H5803S</t>
        </is>
      </c>
    </row>
    <row r="97">
      <c r="A97" s="28" t="n">
        <v>730066</v>
      </c>
      <c r="B97" s="2" t="inlineStr">
        <is>
          <t>TATNEFT PJSC COMMON STOCK RUB</t>
        </is>
      </c>
      <c r="C97" s="18" t="n">
        <v>26136.5</v>
      </c>
      <c r="D97" s="19">
        <f>C97/$C$115</f>
        <v/>
      </c>
      <c r="E97" s="20" t="inlineStr">
        <is>
          <t>0H5822S</t>
        </is>
      </c>
    </row>
    <row r="98">
      <c r="A98" s="28" t="n">
        <v>571359</v>
      </c>
      <c r="B98" s="2" t="inlineStr">
        <is>
          <t>TATNEFT PJSC PREFERENCE RUB 1</t>
        </is>
      </c>
      <c r="C98" s="18" t="n">
        <v>18114.13</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41687.67</v>
      </c>
      <c r="D100" s="19">
        <f>C100/$C$115</f>
        <v/>
      </c>
      <c r="E100" s="20" t="inlineStr">
        <is>
          <t>0H5802S</t>
        </is>
      </c>
    </row>
    <row r="101">
      <c r="A101" s="28" t="n">
        <v>21233273216</v>
      </c>
      <c r="B101" s="2" t="inlineStr">
        <is>
          <t>VTB BANK PJSC COMMON STOCK RUB 0.01</t>
        </is>
      </c>
      <c r="C101" s="18" t="n">
        <v>39880.98</v>
      </c>
      <c r="D101" s="19">
        <f>C101/$C$115</f>
        <v/>
      </c>
      <c r="E101" s="20" t="inlineStr">
        <is>
          <t>0H5837S</t>
        </is>
      </c>
    </row>
    <row r="102">
      <c r="A102" s="28" t="n">
        <v>4003270</v>
      </c>
      <c r="B102" s="2" t="inlineStr">
        <is>
          <t>DETSKY MIR PJSC COMMON STOCK RUB 0.0004</t>
        </is>
      </c>
      <c r="C102" s="18" t="n">
        <v>32723.41</v>
      </c>
      <c r="D102" s="19">
        <f>C102/$C$115</f>
        <v/>
      </c>
      <c r="E102" s="20" t="inlineStr">
        <is>
          <t>0H5850S</t>
        </is>
      </c>
    </row>
    <row r="103">
      <c r="A103" s="28" t="n">
        <v>29773</v>
      </c>
      <c r="B103" s="2" t="inlineStr">
        <is>
          <t>POLYUS PJSC COMMON STOCK RUB</t>
        </is>
      </c>
      <c r="C103" s="18" t="n">
        <v>27204.78</v>
      </c>
      <c r="D103" s="19">
        <f>C103/$C$115</f>
        <v/>
      </c>
      <c r="E103" s="20" t="inlineStr">
        <is>
          <t>2H7182S</t>
        </is>
      </c>
    </row>
    <row r="104">
      <c r="A104" s="28" t="n">
        <v>169819</v>
      </c>
      <c r="B104" s="2" t="inlineStr">
        <is>
          <t>YANDEX NV COMMON STOCK USD 0.01</t>
        </is>
      </c>
      <c r="C104" s="18" t="n">
        <v>25382.72</v>
      </c>
      <c r="D104" s="19">
        <f>C104/$C$115</f>
        <v/>
      </c>
      <c r="E104" s="20" t="inlineStr">
        <is>
          <t>0H6379S</t>
        </is>
      </c>
    </row>
    <row r="105">
      <c r="A105" s="28" t="n">
        <v>432517</v>
      </c>
      <c r="B105" s="2" t="inlineStr">
        <is>
          <t>MD MEDICAL GROUP INVESTMENTS PLC GDR USD</t>
        </is>
      </c>
      <c r="C105" s="18" t="n">
        <v>19455.84</v>
      </c>
      <c r="D105" s="19">
        <f>C105/$C$115</f>
        <v/>
      </c>
      <c r="E105" s="20" t="inlineStr">
        <is>
          <t>0H6371S</t>
        </is>
      </c>
    </row>
    <row r="106">
      <c r="A106" s="28" t="n">
        <v>12313057</v>
      </c>
      <c r="B106" s="2" t="inlineStr">
        <is>
          <t>SISTEMA PJSFC COMMON STOCK RUB 0.09</t>
        </is>
      </c>
      <c r="C106" s="18" t="n">
        <v>14623.4</v>
      </c>
      <c r="D106" s="19">
        <f>C106/$C$115</f>
        <v/>
      </c>
      <c r="E106" s="20" t="inlineStr">
        <is>
          <t>0H5808S</t>
        </is>
      </c>
    </row>
    <row r="107">
      <c r="A107" s="28" t="n">
        <v>577525</v>
      </c>
      <c r="B107" s="2" t="inlineStr">
        <is>
          <t>FIX PRICE GROUP LTD GDR</t>
        </is>
      </c>
      <c r="C107" s="18" t="n">
        <v>4284.21</v>
      </c>
      <c r="D107" s="19">
        <f>C107/$C$115</f>
        <v/>
      </c>
      <c r="E107" s="20" t="inlineStr">
        <is>
          <t>0H6372S</t>
        </is>
      </c>
    </row>
    <row r="108">
      <c r="A108" s="28" t="n">
        <v>75226</v>
      </c>
      <c r="B108" s="2" t="inlineStr">
        <is>
          <t>TCS GROUP HOLDING PLC GDR</t>
        </is>
      </c>
      <c r="C108" s="18" t="n">
        <v>1895.57</v>
      </c>
      <c r="D108" s="19">
        <f>C108/$C$115</f>
        <v/>
      </c>
      <c r="E108" s="20" t="inlineStr">
        <is>
          <t>0H6380S</t>
        </is>
      </c>
    </row>
    <row r="109">
      <c r="A109" s="28" t="n">
        <v>275182</v>
      </c>
      <c r="B109" s="2" t="inlineStr">
        <is>
          <t>X 5 RETAIL GROUP NV-REGS GDR</t>
        </is>
      </c>
      <c r="C109" s="18" t="n">
        <v>1154.02</v>
      </c>
      <c r="D109" s="19">
        <f>C109/$C$115</f>
        <v/>
      </c>
      <c r="E109" s="20" t="inlineStr">
        <is>
          <t>0H6365S</t>
        </is>
      </c>
    </row>
    <row r="110">
      <c r="A110" s="28" t="n">
        <v>552780</v>
      </c>
      <c r="B110" s="2" t="inlineStr">
        <is>
          <t>SEVERSTAL PAO GDR USD</t>
        </is>
      </c>
      <c r="C110" s="18" t="n">
        <v>262.18</v>
      </c>
      <c r="D110" s="19">
        <f>C110/$C$115</f>
        <v/>
      </c>
      <c r="E110" s="20" t="inlineStr">
        <is>
          <t>0H6368S</t>
        </is>
      </c>
    </row>
    <row r="111">
      <c r="A111" s="28" t="n"/>
      <c r="C111" s="18" t="n"/>
      <c r="D111" s="19" t="n"/>
      <c r="E111" s="20" t="n"/>
    </row>
    <row r="112">
      <c r="A112" s="21" t="n"/>
      <c r="B112" s="21" t="inlineStr">
        <is>
          <t>Total portfolio</t>
        </is>
      </c>
      <c r="C112" s="39" t="n">
        <v>19031874.07</v>
      </c>
      <c r="D112" s="19">
        <f>C112/$C$115</f>
        <v/>
      </c>
    </row>
    <row r="113">
      <c r="B113" s="21" t="inlineStr">
        <is>
          <t>Net Current Assets</t>
        </is>
      </c>
      <c r="C113" s="39" t="n">
        <v>64280.91000000015</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28.xml><?xml version="1.0" encoding="utf-8"?>
<worksheet xmlns="http://schemas.openxmlformats.org/spreadsheetml/2006/main">
  <sheetPr>
    <outlinePr summaryBelow="1" summaryRight="1"/>
    <pageSetUpPr/>
  </sheetPr>
  <dimension ref="A1:H119"/>
  <sheetViews>
    <sheetView workbookViewId="0">
      <selection activeCell="I112" sqref="I11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July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53763</v>
      </c>
      <c r="B12" s="2" t="inlineStr">
        <is>
          <t>AL RAJHI BANK COMMON STOCK SAR 10</t>
        </is>
      </c>
      <c r="C12" s="18" t="n">
        <v>829779.72</v>
      </c>
      <c r="D12" s="19">
        <f>C12/$C$115</f>
        <v/>
      </c>
      <c r="E12" s="38" t="inlineStr">
        <is>
          <t>B12LZH9</t>
        </is>
      </c>
      <c r="H12" s="40" t="n"/>
    </row>
    <row r="13">
      <c r="A13" s="28" t="n">
        <v>785612.1899999999</v>
      </c>
      <c r="B13" s="2" t="inlineStr">
        <is>
          <t>JPM GBP LIQUIDITY LVNAV X (DIST.)</t>
        </is>
      </c>
      <c r="C13" s="18" t="n">
        <v>785612.1899999999</v>
      </c>
      <c r="D13" s="19">
        <f>C13/$C$115</f>
        <v/>
      </c>
      <c r="E13" s="38" t="inlineStr">
        <is>
          <t>5819115</t>
        </is>
      </c>
      <c r="H13" s="40" t="n"/>
    </row>
    <row r="14">
      <c r="A14" s="28" t="n">
        <v>90825</v>
      </c>
      <c r="B14" s="2" t="inlineStr">
        <is>
          <t>THE SAUDI NATIONAL BANK</t>
        </is>
      </c>
      <c r="C14" s="18" t="n">
        <v>725358.72</v>
      </c>
      <c r="D14" s="19">
        <f>C14/$C$115</f>
        <v/>
      </c>
      <c r="E14" s="20" t="inlineStr">
        <is>
          <t>BSHYYN1</t>
        </is>
      </c>
      <c r="H14" s="40" t="n"/>
    </row>
    <row r="15">
      <c r="A15" s="41" t="n">
        <v>4185</v>
      </c>
      <c r="B15" s="2" t="inlineStr">
        <is>
          <t>NASPERS LTD COMMON STOCK ZAR 2</t>
        </is>
      </c>
      <c r="C15" s="33" t="n">
        <v>641694.36</v>
      </c>
      <c r="D15" s="19">
        <f>C15/$C$115</f>
        <v/>
      </c>
      <c r="E15" s="20" t="inlineStr">
        <is>
          <t>6622691</t>
        </is>
      </c>
      <c r="H15" s="40" t="n"/>
    </row>
    <row r="16">
      <c r="A16" s="28" t="n">
        <v>193157</v>
      </c>
      <c r="B16" s="2" t="inlineStr">
        <is>
          <t>FIRSTRAND LTD COMMON STOCK ZAR 1</t>
        </is>
      </c>
      <c r="C16" s="18" t="n">
        <v>614382.35</v>
      </c>
      <c r="D16" s="19">
        <f>C16/$C$115</f>
        <v/>
      </c>
      <c r="E16" s="38" t="inlineStr">
        <is>
          <t>6606996</t>
        </is>
      </c>
      <c r="H16" s="40" t="n"/>
    </row>
    <row r="17">
      <c r="A17" s="28" t="n">
        <v>84432</v>
      </c>
      <c r="B17" s="2" t="inlineStr">
        <is>
          <t>SAUDI ARABIAN OIL CO COMMON STOCK SAR</t>
        </is>
      </c>
      <c r="C17" s="18" t="n">
        <v>565854.03</v>
      </c>
      <c r="D17" s="19">
        <f>C17/$C$115</f>
        <v/>
      </c>
      <c r="E17" s="38" t="inlineStr">
        <is>
          <t>BJTM270</t>
        </is>
      </c>
      <c r="H17" s="40" t="n"/>
    </row>
    <row r="18">
      <c r="A18" s="41" t="n">
        <v>30265</v>
      </c>
      <c r="B18" s="2" t="inlineStr">
        <is>
          <t>SAUDI BASIC INDUSTRIES CORP COMMON STOCK SAR 10</t>
        </is>
      </c>
      <c r="C18" s="33" t="n">
        <v>535453.3</v>
      </c>
      <c r="D18" s="19">
        <f>C18/$C$115</f>
        <v/>
      </c>
      <c r="E18" s="20" t="inlineStr">
        <is>
          <t>B1324D0</t>
        </is>
      </c>
      <c r="H18" s="40" t="n"/>
    </row>
    <row r="19">
      <c r="A19" s="28" t="n">
        <v>145911</v>
      </c>
      <c r="B19" s="2" t="inlineStr">
        <is>
          <t>QATAR NATIONAL BANK QPSC COMMON STOCK QAR 1</t>
        </is>
      </c>
      <c r="C19" s="18" t="n">
        <v>524025.25</v>
      </c>
      <c r="D19" s="19">
        <f>C19/$C$115</f>
        <v/>
      </c>
      <c r="E19" s="20" t="inlineStr">
        <is>
          <t>6148197</t>
        </is>
      </c>
      <c r="H19" s="40" t="n"/>
    </row>
    <row r="20">
      <c r="A20" s="28" t="n">
        <v>16143</v>
      </c>
      <c r="B20" s="2" t="inlineStr">
        <is>
          <t>JUMBO SA COMMON STOCK EUR 0.88</t>
        </is>
      </c>
      <c r="C20" s="18" t="n">
        <v>376539.24</v>
      </c>
      <c r="D20" s="19">
        <f>C20/$C$115</f>
        <v/>
      </c>
      <c r="E20" s="20" t="inlineStr">
        <is>
          <t>7243530</t>
        </is>
      </c>
      <c r="H20" s="40" t="n"/>
    </row>
    <row r="21">
      <c r="A21" s="28" t="n">
        <v>45012</v>
      </c>
      <c r="B21" s="2" t="inlineStr">
        <is>
          <t>STANDARD BANK GROUP LTD COMMON STOCK ZAR 10</t>
        </is>
      </c>
      <c r="C21" s="18" t="n">
        <v>375613.73</v>
      </c>
      <c r="D21" s="19">
        <f>C21/$C$115</f>
        <v/>
      </c>
      <c r="E21" s="20" t="inlineStr">
        <is>
          <t>B030GJ7</t>
        </is>
      </c>
      <c r="H21" s="40" t="n"/>
    </row>
    <row r="22">
      <c r="A22" s="28" t="n">
        <v>31177</v>
      </c>
      <c r="B22" s="2" t="inlineStr">
        <is>
          <t>GOLD FIELDS LTD COMMON STOCK ZAR 50</t>
        </is>
      </c>
      <c r="C22" s="18" t="n">
        <v>374427.11</v>
      </c>
      <c r="D22" s="19">
        <f>C22/$C$115</f>
        <v/>
      </c>
      <c r="E22" s="20" t="inlineStr">
        <is>
          <t>6280215</t>
        </is>
      </c>
      <c r="H22" s="40" t="n"/>
    </row>
    <row r="23">
      <c r="A23" s="28" t="n">
        <v>40325</v>
      </c>
      <c r="B23" s="2" t="inlineStr">
        <is>
          <t>SAUDI TELECOM CO COMMON STOCK</t>
        </is>
      </c>
      <c r="C23" s="18" t="n">
        <v>354212.01</v>
      </c>
      <c r="D23" s="19">
        <f>C23/$C$115</f>
        <v/>
      </c>
      <c r="E23" s="20" t="inlineStr">
        <is>
          <t>B12M7Q5</t>
        </is>
      </c>
      <c r="H23" s="40" t="n"/>
    </row>
    <row r="24">
      <c r="A24" s="28" t="n">
        <v>244040</v>
      </c>
      <c r="B24" s="2" t="inlineStr">
        <is>
          <t>EMAAR PROPERTIES PJSC COMMON STOCK AED 1</t>
        </is>
      </c>
      <c r="C24" s="18" t="n">
        <v>349076.37</v>
      </c>
      <c r="D24" s="19">
        <f>C24/$C$115</f>
        <v/>
      </c>
      <c r="E24" s="20" t="inlineStr">
        <is>
          <t>B01RM25</t>
        </is>
      </c>
      <c r="H24" s="40" t="n"/>
    </row>
    <row r="25">
      <c r="A25" s="28" t="n">
        <v>2436</v>
      </c>
      <c r="B25" s="2" t="inlineStr">
        <is>
          <t>ELM CO COMMON STOCK SAR 10</t>
        </is>
      </c>
      <c r="C25" s="18" t="n">
        <v>343270.88</v>
      </c>
      <c r="D25" s="19">
        <f>C25/$C$115</f>
        <v/>
      </c>
      <c r="E25" s="20" t="inlineStr">
        <is>
          <t>BNYDSH8</t>
        </is>
      </c>
      <c r="H25" s="40" t="n"/>
    </row>
    <row r="26">
      <c r="A26" s="28" t="n">
        <v>30074</v>
      </c>
      <c r="B26" s="2" t="inlineStr">
        <is>
          <t>SHOPRITE HOLDINGS LTD COMMON STOCK ZAR 113.4</t>
        </is>
      </c>
      <c r="C26" s="18" t="n">
        <v>339454.36</v>
      </c>
      <c r="D26" s="19">
        <f>C26/$C$115</f>
        <v/>
      </c>
      <c r="E26" s="20" t="inlineStr">
        <is>
          <t>6801575</t>
        </is>
      </c>
      <c r="H26" s="40" t="n"/>
    </row>
    <row r="27">
      <c r="A27" s="28" t="n">
        <v>18315</v>
      </c>
      <c r="B27" s="2" t="inlineStr">
        <is>
          <t>BID CORP LTD COMMON STOCK ZAR</t>
        </is>
      </c>
      <c r="C27" s="18" t="n">
        <v>339053.98</v>
      </c>
      <c r="D27" s="19">
        <f>C27/$C$115</f>
        <v/>
      </c>
      <c r="E27" s="20" t="inlineStr">
        <is>
          <t>BZBFKT7</t>
        </is>
      </c>
      <c r="H27" s="40" t="n"/>
    </row>
    <row r="28">
      <c r="A28" s="28" t="n">
        <v>43770</v>
      </c>
      <c r="B28" s="2" t="inlineStr">
        <is>
          <t>ALINMA BANK COMMON STOCK SAR 10</t>
        </is>
      </c>
      <c r="C28" s="18" t="n">
        <v>335506.79</v>
      </c>
      <c r="D28" s="19">
        <f>C28/$C$115</f>
        <v/>
      </c>
      <c r="E28" s="20" t="inlineStr">
        <is>
          <t>B39NWT3</t>
        </is>
      </c>
      <c r="H28" s="40" t="n"/>
    </row>
    <row r="29">
      <c r="A29" s="28" t="n">
        <v>24353</v>
      </c>
      <c r="B29" s="2" t="inlineStr">
        <is>
          <t>RIYADH CABLES GROUP CO COMMON STOCK SAR 10</t>
        </is>
      </c>
      <c r="C29" s="18" t="n">
        <v>318854.53</v>
      </c>
      <c r="D29" s="19">
        <f>C29/$C$115</f>
        <v/>
      </c>
      <c r="E29" s="20" t="inlineStr">
        <is>
          <t>BNBPXW7</t>
        </is>
      </c>
      <c r="H29" s="40" t="n"/>
    </row>
    <row r="30">
      <c r="A30" s="28" t="n">
        <v>22069</v>
      </c>
      <c r="B30" s="2" t="inlineStr">
        <is>
          <t>OPAP SA COMMON STOCK EUR 0.3</t>
        </is>
      </c>
      <c r="C30" s="18" t="n">
        <v>302580.2</v>
      </c>
      <c r="D30" s="19">
        <f>C30/$C$115</f>
        <v/>
      </c>
      <c r="E30" s="20" t="inlineStr">
        <is>
          <t>7107250</t>
        </is>
      </c>
      <c r="H30" s="40" t="n"/>
    </row>
    <row r="31">
      <c r="A31" s="28" t="n">
        <v>35367</v>
      </c>
      <c r="B31" s="2" t="inlineStr">
        <is>
          <t>ABSA GROUP LTD</t>
        </is>
      </c>
      <c r="C31" s="18" t="n">
        <v>292794.7</v>
      </c>
      <c r="D31" s="19">
        <f>C31/$C$115</f>
        <v/>
      </c>
      <c r="E31" s="20" t="inlineStr">
        <is>
          <t>BFX05H3</t>
        </is>
      </c>
      <c r="H31" s="40" t="n"/>
    </row>
    <row r="32">
      <c r="A32" s="28" t="n">
        <v>362649</v>
      </c>
      <c r="B32" s="2" t="inlineStr">
        <is>
          <t>LUKOIL PJSC COMMON STOCK RUB 0.025 RUB</t>
        </is>
      </c>
      <c r="C32" s="18" t="n">
        <v>158185.77</v>
      </c>
      <c r="D32" s="19">
        <f>C32/$C$115</f>
        <v/>
      </c>
      <c r="E32" s="20" t="inlineStr">
        <is>
          <t>2H6442S</t>
        </is>
      </c>
      <c r="H32" s="40" t="n"/>
    </row>
    <row r="33">
      <c r="A33" s="28" t="n">
        <v>262047</v>
      </c>
      <c r="B33" s="2" t="inlineStr">
        <is>
          <t>LUKOIL PJSC COMMON STOCK RUB</t>
        </is>
      </c>
      <c r="C33" s="18" t="n">
        <v>127004.52</v>
      </c>
      <c r="D33" s="19">
        <f>C33/$C$115</f>
        <v/>
      </c>
      <c r="E33" s="20" t="inlineStr">
        <is>
          <t>0H5797S</t>
        </is>
      </c>
      <c r="H33" s="40" t="n"/>
    </row>
    <row r="34" customFormat="1" s="35">
      <c r="A34" s="30" t="n"/>
      <c r="B34" s="27" t="inlineStr">
        <is>
          <t>Subtotal</t>
        </is>
      </c>
      <c r="C34" s="29">
        <f>+C33+C32</f>
        <v/>
      </c>
      <c r="D34" s="31">
        <f>C34/$C$115</f>
        <v/>
      </c>
      <c r="E34" s="34" t="n"/>
      <c r="G34" s="3" t="n"/>
    </row>
    <row r="35">
      <c r="A35" s="41" t="n">
        <v>22972</v>
      </c>
      <c r="B35" s="2" t="inlineStr">
        <is>
          <t>CLICKS GROUP LTD COMMON STOCK ZAR 1</t>
        </is>
      </c>
      <c r="C35" s="33" t="n">
        <v>281629.97</v>
      </c>
      <c r="D35" s="19">
        <f>C35/$C$115</f>
        <v/>
      </c>
      <c r="E35" s="38" t="inlineStr">
        <is>
          <t>6105578</t>
        </is>
      </c>
      <c r="H35" s="40" t="n"/>
    </row>
    <row r="36">
      <c r="A36" s="28" t="n">
        <v>14056</v>
      </c>
      <c r="B36" s="2" t="inlineStr">
        <is>
          <t>MOTOR OIL HELLAS CORINTH REFINERIES SA COMMON STOCK EUR 0.75</t>
        </is>
      </c>
      <c r="C36" s="18" t="n">
        <v>277030.42</v>
      </c>
      <c r="D36" s="19">
        <f>C36/$C$115</f>
        <v/>
      </c>
      <c r="E36" s="20" t="inlineStr">
        <is>
          <t>5996234</t>
        </is>
      </c>
      <c r="H36" s="40" t="n"/>
    </row>
    <row r="37">
      <c r="A37" s="28" t="n">
        <v>95185</v>
      </c>
      <c r="B37" s="2" t="inlineStr">
        <is>
          <t>SANLAM LTD COMMON STOCK ZAR 1</t>
        </is>
      </c>
      <c r="C37" s="18" t="n">
        <v>273597.79</v>
      </c>
      <c r="D37" s="19">
        <f>C37/$C$115</f>
        <v/>
      </c>
      <c r="E37" s="20" t="inlineStr">
        <is>
          <t>B0L6750</t>
        </is>
      </c>
      <c r="H37" s="40" t="n"/>
    </row>
    <row r="38">
      <c r="A38" s="28" t="n">
        <v>6612</v>
      </c>
      <c r="B38" s="2" t="inlineStr">
        <is>
          <t>ARABIAN CONTRACTING SERVICES CO COMMON STOCK SAR</t>
        </is>
      </c>
      <c r="C38" s="18" t="n">
        <v>270945.65</v>
      </c>
      <c r="D38" s="19">
        <f>C38/$C$115</f>
        <v/>
      </c>
      <c r="E38" s="20" t="inlineStr">
        <is>
          <t>BP4DC81</t>
        </is>
      </c>
      <c r="H38" s="40" t="n"/>
    </row>
    <row r="39">
      <c r="A39" s="28" t="n">
        <v>309743</v>
      </c>
      <c r="B39" s="2" t="inlineStr">
        <is>
          <t>ADNOC DRILLING CO PJSC COMMON STOCK AED</t>
        </is>
      </c>
      <c r="C39" s="18" t="n">
        <v>257576.83</v>
      </c>
      <c r="D39" s="19">
        <f>C39/$C$115</f>
        <v/>
      </c>
      <c r="E39" s="20" t="inlineStr">
        <is>
          <t>BN12D39</t>
        </is>
      </c>
      <c r="H39" s="40" t="n"/>
    </row>
    <row r="40">
      <c r="A40" s="41" t="n">
        <v>38596</v>
      </c>
      <c r="B40" s="2" t="inlineStr">
        <is>
          <t>RIYAD BANK COMMON STOCK SAR 10</t>
        </is>
      </c>
      <c r="C40" s="18" t="n">
        <v>254268.44</v>
      </c>
      <c r="D40" s="19">
        <f>C40/$C$115</f>
        <v/>
      </c>
      <c r="E40" s="20" t="inlineStr">
        <is>
          <t>B12LZW4</t>
        </is>
      </c>
      <c r="H40" s="40" t="n"/>
    </row>
    <row r="41">
      <c r="A41" s="28" t="n">
        <v>226609</v>
      </c>
      <c r="B41" s="2" t="inlineStr">
        <is>
          <t>ALDAR PROPERTIES PJSC COMMON STOCK AED 1</t>
        </is>
      </c>
      <c r="C41" s="18" t="n">
        <v>247902.23</v>
      </c>
      <c r="D41" s="19">
        <f>C41/$C$115</f>
        <v/>
      </c>
      <c r="E41" s="38" t="inlineStr">
        <is>
          <t>B0LX3Y2</t>
        </is>
      </c>
      <c r="H41" s="40" t="n"/>
    </row>
    <row r="42">
      <c r="A42" s="28" t="n">
        <v>7955</v>
      </c>
      <c r="B42" s="2" t="inlineStr">
        <is>
          <t>LEEJAM SPORTS CO JSC COMMON STOCK SAR 10</t>
        </is>
      </c>
      <c r="C42" s="18" t="n">
        <v>241600.15</v>
      </c>
      <c r="D42" s="19">
        <f>C42/$C$115</f>
        <v/>
      </c>
      <c r="E42" s="38" t="inlineStr">
        <is>
          <t>BF12ZV5</t>
        </is>
      </c>
      <c r="H42" s="40" t="n"/>
    </row>
    <row r="43">
      <c r="A43" s="28" t="n">
        <v>13785</v>
      </c>
      <c r="B43" s="2" t="inlineStr">
        <is>
          <t>ANGLOGOLD ASHANTI LTD COMMON STOCK ZAR 25</t>
        </is>
      </c>
      <c r="C43" s="18" t="n">
        <v>237709.79</v>
      </c>
      <c r="D43" s="19">
        <f>C43/$C$115</f>
        <v/>
      </c>
      <c r="E43" s="38" t="inlineStr">
        <is>
          <t>6565655</t>
        </is>
      </c>
      <c r="H43" s="40" t="n"/>
    </row>
    <row r="44">
      <c r="A44" s="28" t="n">
        <v>123763</v>
      </c>
      <c r="B44" s="2" t="inlineStr">
        <is>
          <t>ABU DHABI COMMERCIAL BANK PJSC COMMON STOCK AED 1</t>
        </is>
      </c>
      <c r="C44" s="18" t="n">
        <v>228883.77</v>
      </c>
      <c r="D44" s="19">
        <f>C44/$C$115</f>
        <v/>
      </c>
      <c r="E44" s="38" t="inlineStr">
        <is>
          <t>6545464</t>
        </is>
      </c>
      <c r="H44" s="40" t="n"/>
    </row>
    <row r="45">
      <c r="A45" s="28" t="n">
        <v>1672</v>
      </c>
      <c r="B45" s="2" t="inlineStr">
        <is>
          <t>GRUPA KETY SA COMMON STOCK PLN 2.5</t>
        </is>
      </c>
      <c r="C45" s="18" t="n">
        <v>225279.84</v>
      </c>
      <c r="D45" s="19">
        <f>C45/$C$115</f>
        <v/>
      </c>
      <c r="E45" s="38" t="inlineStr">
        <is>
          <t>5216385</t>
        </is>
      </c>
      <c r="H45" s="40" t="n"/>
    </row>
    <row r="46">
      <c r="A46" s="28" t="n">
        <v>8860909</v>
      </c>
      <c r="B46" s="2" t="inlineStr">
        <is>
          <t>GAZPROM PJSC COMMON STOCK RUB</t>
        </is>
      </c>
      <c r="C46" s="18" t="n">
        <v>198331.75</v>
      </c>
      <c r="D46" s="19">
        <f>C46/$C$115</f>
        <v/>
      </c>
      <c r="E46" s="38" t="inlineStr">
        <is>
          <t>0H5796S</t>
        </is>
      </c>
      <c r="H46" s="40" t="n"/>
    </row>
    <row r="47">
      <c r="A47" s="28" t="n">
        <v>5365084</v>
      </c>
      <c r="B47" s="2" t="inlineStr">
        <is>
          <t>GAZPROM PJSC ADR</t>
        </is>
      </c>
      <c r="C47" s="18" t="n">
        <v>24243.27</v>
      </c>
      <c r="D47" s="19">
        <f>C47/$C$115</f>
        <v/>
      </c>
      <c r="E47" s="20" t="inlineStr">
        <is>
          <t>0H6364S</t>
        </is>
      </c>
      <c r="H47" s="40" t="n"/>
    </row>
    <row r="48" customFormat="1" s="35">
      <c r="A48" s="30" t="n"/>
      <c r="B48" s="27" t="inlineStr">
        <is>
          <t>Subtotal</t>
        </is>
      </c>
      <c r="C48" s="29">
        <f>+C47+C46</f>
        <v/>
      </c>
      <c r="D48" s="31">
        <f>C48/$C$115</f>
        <v/>
      </c>
      <c r="E48" s="34" t="n"/>
      <c r="G48" s="3" t="n"/>
    </row>
    <row r="49">
      <c r="A49" s="28" t="n">
        <v>5994</v>
      </c>
      <c r="B49" s="2" t="inlineStr">
        <is>
          <t>ARABIAN DRILLING CO COMMON STOCK SAR 10</t>
        </is>
      </c>
      <c r="C49" s="18" t="n">
        <v>219047.53</v>
      </c>
      <c r="D49" s="19">
        <f>C49/$C$115</f>
        <v/>
      </c>
      <c r="E49" s="20" t="inlineStr">
        <is>
          <t>BPNZYP9</t>
        </is>
      </c>
      <c r="H49" s="40" t="n"/>
    </row>
    <row r="50">
      <c r="A50" s="28" t="n">
        <v>2526</v>
      </c>
      <c r="B50" s="2" t="inlineStr">
        <is>
          <t>KRUK SA COMMON STOCK PLN 1</t>
        </is>
      </c>
      <c r="C50" s="18" t="n">
        <v>214773.68</v>
      </c>
      <c r="D50" s="19">
        <f>C50/$C$115</f>
        <v/>
      </c>
      <c r="E50" s="20" t="inlineStr">
        <is>
          <t>B4PTLY0</t>
        </is>
      </c>
      <c r="H50" s="40" t="n"/>
    </row>
    <row r="51">
      <c r="A51" s="28" t="n">
        <v>40456</v>
      </c>
      <c r="B51" s="2" t="inlineStr">
        <is>
          <t>VODACOM GROUP LTD COMMON STOCK ZAR</t>
        </is>
      </c>
      <c r="C51" s="18" t="n">
        <v>208561.4</v>
      </c>
      <c r="D51" s="19">
        <f>C51/$C$115</f>
        <v/>
      </c>
      <c r="E51" s="20" t="inlineStr">
        <is>
          <t>B65B4D0</t>
        </is>
      </c>
      <c r="H51" s="40" t="n"/>
    </row>
    <row r="52">
      <c r="A52" s="41" t="n">
        <v>14455036</v>
      </c>
      <c r="B52" s="2" t="inlineStr">
        <is>
          <t>SBERBANK OF RUSSIA PJSC PREFERENCE RUB 3</t>
        </is>
      </c>
      <c r="C52" s="33" t="n">
        <v>178480.51</v>
      </c>
      <c r="D52" s="19">
        <f>C52/$C$115</f>
        <v/>
      </c>
      <c r="E52" s="20" t="inlineStr">
        <is>
          <t>0H5856S</t>
        </is>
      </c>
      <c r="H52" s="40" t="n"/>
    </row>
    <row r="53">
      <c r="A53" s="28" t="n">
        <v>2355925</v>
      </c>
      <c r="B53" s="2" t="inlineStr">
        <is>
          <t>SBERBANK OF RUSSIA PJSC</t>
        </is>
      </c>
      <c r="C53" s="18" t="n">
        <v>28879.05</v>
      </c>
      <c r="D53" s="19">
        <f>C53/$C$115</f>
        <v/>
      </c>
      <c r="E53" s="20" t="inlineStr">
        <is>
          <t>0H5855S</t>
        </is>
      </c>
      <c r="H53" s="40" t="n"/>
    </row>
    <row r="54" customFormat="1" s="35">
      <c r="A54" s="30" t="n"/>
      <c r="B54" s="27" t="inlineStr">
        <is>
          <t>Subtotal</t>
        </is>
      </c>
      <c r="C54" s="29">
        <f>+C53+C52</f>
        <v/>
      </c>
      <c r="D54" s="31">
        <f>C54/$C$115</f>
        <v/>
      </c>
      <c r="E54" s="34" t="n"/>
      <c r="G54" s="3" t="n"/>
    </row>
    <row r="55">
      <c r="A55" s="28" t="n">
        <v>71649</v>
      </c>
      <c r="B55" s="2" t="inlineStr">
        <is>
          <t>INDUSTRIES QATAR QSC COMMON STOCK QAR 1</t>
        </is>
      </c>
      <c r="C55" s="18" t="n">
        <v>203928.76</v>
      </c>
      <c r="D55" s="19">
        <f>C55/$C$115</f>
        <v/>
      </c>
      <c r="E55" s="20" t="inlineStr">
        <is>
          <t>6673570</t>
        </is>
      </c>
    </row>
    <row r="56">
      <c r="A56" s="28" t="n">
        <v>16665</v>
      </c>
      <c r="B56" s="2" t="inlineStr">
        <is>
          <t>BIDVEST GROUP LTD/THE COMMON STOCK ZAR 5</t>
        </is>
      </c>
      <c r="C56" s="18" t="n">
        <v>202064.78</v>
      </c>
      <c r="D56" s="19">
        <f>C56/$C$115</f>
        <v/>
      </c>
      <c r="E56" s="20" t="inlineStr">
        <is>
          <t>6100089</t>
        </is>
      </c>
    </row>
    <row r="57">
      <c r="A57" s="28" t="n">
        <v>3693</v>
      </c>
      <c r="B57" s="2" t="inlineStr">
        <is>
          <t>MOUWASAT MEDICAL SERVICES CO COMMON STOCK SAR 10</t>
        </is>
      </c>
      <c r="C57" s="18" t="n">
        <v>191880.08</v>
      </c>
      <c r="D57" s="19">
        <f>C57/$C$115</f>
        <v/>
      </c>
      <c r="E57" s="20" t="inlineStr">
        <is>
          <t>B403QG4</t>
        </is>
      </c>
    </row>
    <row r="58">
      <c r="A58" s="28" t="n">
        <v>13199</v>
      </c>
      <c r="B58" s="2" t="inlineStr">
        <is>
          <t>UNITED INTERNATIONAL TRANSPORTATION CO COMMON STOCK SAR 10</t>
        </is>
      </c>
      <c r="C58" s="18" t="n">
        <v>188674.48</v>
      </c>
      <c r="D58" s="19">
        <f>C58/$C$115</f>
        <v/>
      </c>
      <c r="E58" s="20" t="inlineStr">
        <is>
          <t>B2493D0</t>
        </is>
      </c>
    </row>
    <row r="59">
      <c r="A59" s="28" t="n">
        <v>33471</v>
      </c>
      <c r="B59" s="2" t="inlineStr">
        <is>
          <t>IMPALA PLATINUM HOLDINGS LTD COMMON STOCK ZAR 0</t>
        </is>
      </c>
      <c r="C59" s="18" t="n">
        <v>188671.93</v>
      </c>
      <c r="D59" s="19">
        <f>C59/$C$115</f>
        <v/>
      </c>
      <c r="E59" s="20" t="inlineStr">
        <is>
          <t>B1FFT76</t>
        </is>
      </c>
    </row>
    <row r="60">
      <c r="A60" s="28" t="n">
        <v>19263</v>
      </c>
      <c r="B60" s="2" t="inlineStr">
        <is>
          <t>ETIHAD ETISALAT CO COMMON STOCK SAR 10</t>
        </is>
      </c>
      <c r="C60" s="18" t="n">
        <v>185167.58</v>
      </c>
      <c r="D60" s="19">
        <f>C60/$C$115</f>
        <v/>
      </c>
      <c r="E60" s="20" t="inlineStr">
        <is>
          <t>B12LR51</t>
        </is>
      </c>
    </row>
    <row r="61">
      <c r="A61" s="28" t="n">
        <v>721867</v>
      </c>
      <c r="B61" s="2" t="inlineStr">
        <is>
          <t>AL ANSARI FINANCIAL SERVICES PJSC COMMON STOCK AED</t>
        </is>
      </c>
      <c r="C61" s="18" t="n">
        <v>181767.77</v>
      </c>
      <c r="D61" s="19">
        <f>C61/$C$115</f>
        <v/>
      </c>
      <c r="E61" s="20" t="inlineStr">
        <is>
          <t>BMWB101</t>
        </is>
      </c>
    </row>
    <row r="62">
      <c r="A62" s="28" t="n">
        <v>49478</v>
      </c>
      <c r="B62" s="2" t="inlineStr">
        <is>
          <t>BANCA TRANSILVANIA SA COMMON STOCK RON 1</t>
        </is>
      </c>
      <c r="C62" s="18" t="n">
        <v>176977.95</v>
      </c>
      <c r="D62" s="19">
        <f>C62/$C$115</f>
        <v/>
      </c>
      <c r="E62" s="20" t="inlineStr">
        <is>
          <t>5393307</t>
        </is>
      </c>
    </row>
    <row r="63">
      <c r="A63" s="28" t="n">
        <v>196322</v>
      </c>
      <c r="B63" s="2" t="inlineStr">
        <is>
          <t>QATAR GAS TRANSPORT CO LTD COMMON STOCK QAR 1</t>
        </is>
      </c>
      <c r="C63" s="18" t="n">
        <v>175639.09</v>
      </c>
      <c r="D63" s="19">
        <f>C63/$C$115</f>
        <v/>
      </c>
      <c r="E63" s="20" t="inlineStr">
        <is>
          <t>B0MLBC9</t>
        </is>
      </c>
    </row>
    <row r="64">
      <c r="A64" s="28" t="n">
        <v>144384</v>
      </c>
      <c r="B64" s="2" t="inlineStr">
        <is>
          <t>DUBAI ISLAMIC BANK PJSC COMMON STOCK AED 1</t>
        </is>
      </c>
      <c r="C64" s="18" t="n">
        <v>174448.77</v>
      </c>
      <c r="D64" s="19">
        <f>C64/$C$115</f>
        <v/>
      </c>
      <c r="E64" s="20" t="inlineStr">
        <is>
          <t>6283452</t>
        </is>
      </c>
    </row>
    <row r="65">
      <c r="A65" s="28" t="n">
        <v>22211</v>
      </c>
      <c r="B65" s="2" t="inlineStr">
        <is>
          <t>SAHARA INTERNATIONAL PETROCHEMICAL CO COMMON STOCK SAR 10</t>
        </is>
      </c>
      <c r="C65" s="18" t="n">
        <v>173933.39</v>
      </c>
      <c r="D65" s="19">
        <f>C65/$C$115</f>
        <v/>
      </c>
      <c r="E65" s="20" t="inlineStr">
        <is>
          <t>B1C1NH5</t>
        </is>
      </c>
    </row>
    <row r="66">
      <c r="A66" s="28" t="n">
        <v>55575</v>
      </c>
      <c r="B66" s="2" t="inlineStr">
        <is>
          <t>AVI LTD COMMON STOCK ZAR 5</t>
        </is>
      </c>
      <c r="C66" s="18" t="n">
        <v>171693.43</v>
      </c>
      <c r="D66" s="19">
        <f>C66/$C$115</f>
        <v/>
      </c>
      <c r="E66" s="20" t="inlineStr">
        <is>
          <t>6040958</t>
        </is>
      </c>
    </row>
    <row r="67">
      <c r="A67" s="28" t="n">
        <v>300201</v>
      </c>
      <c r="B67" s="2" t="inlineStr">
        <is>
          <t>OLD MUTUAL LTD COMMON STOCK ZAR</t>
        </is>
      </c>
      <c r="C67" s="18" t="n">
        <v>170426.65</v>
      </c>
      <c r="D67" s="19">
        <f>C67/$C$115</f>
        <v/>
      </c>
      <c r="E67" s="20" t="inlineStr">
        <is>
          <t>BDVPYN5</t>
        </is>
      </c>
    </row>
    <row r="68">
      <c r="A68" s="28" t="n">
        <v>256601</v>
      </c>
      <c r="B68" s="2" t="inlineStr">
        <is>
          <t>SALIK CO PJSC COMMON STOCK AED 0.01</t>
        </is>
      </c>
      <c r="C68" s="18" t="n">
        <v>169947.75</v>
      </c>
      <c r="D68" s="19">
        <f>C68/$C$115</f>
        <v/>
      </c>
      <c r="E68" s="20" t="inlineStr">
        <is>
          <t>BJN5952</t>
        </is>
      </c>
    </row>
    <row r="69">
      <c r="A69" s="28" t="n">
        <v>18372</v>
      </c>
      <c r="B69" s="2" t="inlineStr">
        <is>
          <t>HUMANSOFT HOLDING CO KSC COMMON STOCK KWD 100</t>
        </is>
      </c>
      <c r="C69" s="18" t="n">
        <v>166920.87</v>
      </c>
      <c r="D69" s="19">
        <f>C69/$C$115</f>
        <v/>
      </c>
      <c r="E69" s="20" t="inlineStr">
        <is>
          <t>B13BYX7</t>
        </is>
      </c>
    </row>
    <row r="70">
      <c r="A70" s="28" t="n">
        <v>292031</v>
      </c>
      <c r="B70" s="2" t="inlineStr">
        <is>
          <t>DUBAI ELECTRICITY &amp; WATER AU</t>
        </is>
      </c>
      <c r="C70" s="18" t="n">
        <v>164988.23</v>
      </c>
      <c r="D70" s="19">
        <f>C70/$C$115</f>
        <v/>
      </c>
      <c r="E70" s="20" t="inlineStr">
        <is>
          <t>BJLTVJ4</t>
        </is>
      </c>
    </row>
    <row r="71">
      <c r="A71" s="28" t="n">
        <v>20423</v>
      </c>
      <c r="B71" s="2" t="inlineStr">
        <is>
          <t>SAUDI AWWAL BANK COMMON STOCK SAR 10</t>
        </is>
      </c>
      <c r="C71" s="18" t="n">
        <v>160777.84</v>
      </c>
      <c r="D71" s="19">
        <f>C71/$C$115</f>
        <v/>
      </c>
      <c r="E71" s="20" t="inlineStr">
        <is>
          <t>B12LSY7</t>
        </is>
      </c>
    </row>
    <row r="72">
      <c r="A72" s="28" t="n">
        <v>49840</v>
      </c>
      <c r="B72" s="2" t="inlineStr">
        <is>
          <t>JARIR MARKETING CO COMMON STOCK SAR 1</t>
        </is>
      </c>
      <c r="C72" s="18" t="n">
        <v>160041.56</v>
      </c>
      <c r="D72" s="19">
        <f>C72/$C$115</f>
        <v/>
      </c>
      <c r="E72" s="20" t="inlineStr">
        <is>
          <t>B128FM5</t>
        </is>
      </c>
    </row>
    <row r="73">
      <c r="A73" s="28" t="n">
        <v>66726</v>
      </c>
      <c r="B73" s="2" t="inlineStr">
        <is>
          <t>ABU DHABI ISLAMIC BANK PJSC COMMON STOCK AED 1</t>
        </is>
      </c>
      <c r="C73" s="18" t="n">
        <v>157569.45</v>
      </c>
      <c r="D73" s="19">
        <f>C73/$C$115</f>
        <v/>
      </c>
      <c r="E73" s="20" t="inlineStr">
        <is>
          <t>6001728</t>
        </is>
      </c>
    </row>
    <row r="74">
      <c r="A74" s="28" t="n">
        <v>43702</v>
      </c>
      <c r="B74" s="2" t="inlineStr">
        <is>
          <t>WOOLWORTHS HOLDINGS LTD/SOUTH AFRICA COMMON STOCK ZAR 0</t>
        </is>
      </c>
      <c r="C74" s="18" t="n">
        <v>152718.04</v>
      </c>
      <c r="D74" s="19">
        <f>C74/$C$115</f>
        <v/>
      </c>
      <c r="E74" s="20" t="inlineStr">
        <is>
          <t>B06KZ97</t>
        </is>
      </c>
    </row>
    <row r="75">
      <c r="A75" s="28" t="n">
        <v>49360</v>
      </c>
      <c r="B75" s="2" t="inlineStr">
        <is>
          <t>FIRST ABU DHABI BANK PJSC COMMON STOCK AED 1</t>
        </is>
      </c>
      <c r="C75" s="18" t="n">
        <v>151863.11</v>
      </c>
      <c r="D75" s="19">
        <f>C75/$C$115</f>
        <v/>
      </c>
      <c r="E75" s="20" t="inlineStr">
        <is>
          <t>6624471</t>
        </is>
      </c>
    </row>
    <row r="76">
      <c r="A76" s="28" t="n">
        <v>1268490</v>
      </c>
      <c r="B76" s="2" t="inlineStr">
        <is>
          <t>NOVATEK PJSC COMMON STOCK RUB 0.1</t>
        </is>
      </c>
      <c r="C76" s="18" t="n">
        <v>136247.11</v>
      </c>
      <c r="D76" s="19">
        <f>C76/$C$115</f>
        <v/>
      </c>
      <c r="E76" s="20" t="inlineStr">
        <is>
          <t>2H6464S</t>
        </is>
      </c>
    </row>
    <row r="77">
      <c r="A77" s="28" t="n">
        <v>103572</v>
      </c>
      <c r="B77" s="2" t="inlineStr">
        <is>
          <t>NOVATEK PJSC COMMON STOCK RUB 0.1</t>
        </is>
      </c>
      <c r="C77" s="18" t="n">
        <v>12360.66</v>
      </c>
      <c r="D77" s="19">
        <f>C77/$C$115</f>
        <v/>
      </c>
      <c r="E77" s="20" t="inlineStr">
        <is>
          <t>0H5828S</t>
        </is>
      </c>
    </row>
    <row r="78" customFormat="1" s="35">
      <c r="A78" s="30" t="n"/>
      <c r="B78" s="27" t="inlineStr">
        <is>
          <t>Subtotal</t>
        </is>
      </c>
      <c r="C78" s="29">
        <f>+C77+C76</f>
        <v/>
      </c>
      <c r="D78" s="31">
        <f>C78/$C$115</f>
        <v/>
      </c>
      <c r="E78" s="34" t="n"/>
      <c r="G78" s="3" t="n"/>
    </row>
    <row r="79">
      <c r="A79" s="28" t="n">
        <v>12017</v>
      </c>
      <c r="B79" s="2" t="inlineStr">
        <is>
          <t>HELLENIC TELECOMMUNICATIONS ORGANIZATION SA COMMON STOCK EUR 2.83</t>
        </is>
      </c>
      <c r="C79" s="18" t="n">
        <v>147769.85</v>
      </c>
      <c r="D79" s="19">
        <f>C79/$C$115</f>
        <v/>
      </c>
      <c r="E79" s="20" t="inlineStr">
        <is>
          <t>5051605</t>
        </is>
      </c>
    </row>
    <row r="80">
      <c r="A80" s="28" t="n">
        <v>99566</v>
      </c>
      <c r="B80" s="2" t="inlineStr">
        <is>
          <t>SIBANYE STILLWATER LTD COMMON STOCK ZAR</t>
        </is>
      </c>
      <c r="C80" s="18" t="n">
        <v>147163.77</v>
      </c>
      <c r="D80" s="19">
        <f>C80/$C$115</f>
        <v/>
      </c>
      <c r="E80" s="20" t="inlineStr">
        <is>
          <t>BL0L913</t>
        </is>
      </c>
    </row>
    <row r="81">
      <c r="A81" s="28" t="n">
        <v>60427</v>
      </c>
      <c r="B81" s="2" t="inlineStr">
        <is>
          <t>OOREDOO QPSC COMMON STOCK QAR 1</t>
        </is>
      </c>
      <c r="C81" s="18" t="n">
        <v>146312.79</v>
      </c>
      <c r="D81" s="19">
        <f>C81/$C$115</f>
        <v/>
      </c>
      <c r="E81" s="20" t="inlineStr">
        <is>
          <t>6158174</t>
        </is>
      </c>
    </row>
    <row r="82">
      <c r="A82" s="28" t="n">
        <v>5652</v>
      </c>
      <c r="B82" s="2" t="inlineStr">
        <is>
          <t>KOMERCNI BANKA AS COMMON STOCK CZK 100</t>
        </is>
      </c>
      <c r="C82" s="18" t="n">
        <v>144556.16</v>
      </c>
      <c r="D82" s="19">
        <f>C82/$C$115</f>
        <v/>
      </c>
      <c r="E82" s="20" t="inlineStr">
        <is>
          <t>4519449</t>
        </is>
      </c>
    </row>
    <row r="83">
      <c r="A83" s="28" t="n">
        <v>71192</v>
      </c>
      <c r="B83" s="2" t="inlineStr">
        <is>
          <t>MMC NORILSK NICKEL PJSC COMMON STOCK RUB 1</t>
        </is>
      </c>
      <c r="C83" s="18" t="n">
        <v>133743.33</v>
      </c>
      <c r="D83" s="19">
        <f>C83/$C$115</f>
        <v/>
      </c>
      <c r="E83" s="20" t="inlineStr">
        <is>
          <t>0H5804S</t>
        </is>
      </c>
    </row>
    <row r="84">
      <c r="A84" s="28" t="n">
        <v>78324</v>
      </c>
      <c r="B84" s="2" t="inlineStr">
        <is>
          <t>OUTSURANCE GROUP LTD COMMON STOCK ZAR 0.0001</t>
        </is>
      </c>
      <c r="C84" s="18" t="n">
        <v>132334.46</v>
      </c>
      <c r="D84" s="19">
        <f>C84/$C$115</f>
        <v/>
      </c>
      <c r="E84" s="20" t="inlineStr">
        <is>
          <t>BN6QSM0</t>
        </is>
      </c>
    </row>
    <row r="85">
      <c r="A85" s="28" t="n">
        <v>174489</v>
      </c>
      <c r="B85" s="2" t="inlineStr">
        <is>
          <t>FERTIGLOBE PLC COMMON STOCK</t>
        </is>
      </c>
      <c r="C85" s="18" t="n">
        <v>131440.98</v>
      </c>
      <c r="D85" s="19">
        <f>C85/$C$115</f>
        <v/>
      </c>
      <c r="E85" s="20" t="inlineStr">
        <is>
          <t>BMXCL70</t>
        </is>
      </c>
    </row>
    <row r="86">
      <c r="A86" s="28" t="n">
        <v>24782</v>
      </c>
      <c r="B86" s="2" t="inlineStr">
        <is>
          <t>ARABIAN CENTRES CO LTD COMMON STOCK SAR 10</t>
        </is>
      </c>
      <c r="C86" s="18" t="n">
        <v>116645.43</v>
      </c>
      <c r="D86" s="19">
        <f>C86/$C$115</f>
        <v/>
      </c>
      <c r="E86" s="20" t="inlineStr">
        <is>
          <t>BKBF694</t>
        </is>
      </c>
    </row>
    <row r="87">
      <c r="A87" s="28" t="n">
        <v>4733</v>
      </c>
      <c r="B87" s="2" t="inlineStr">
        <is>
          <t>ANGLO AMERICAN PLC COMMON STOCK GBP 0.54945</t>
        </is>
      </c>
      <c r="C87" s="18" t="n">
        <v>113284.36</v>
      </c>
      <c r="D87" s="19">
        <f>C87/$C$115</f>
        <v/>
      </c>
      <c r="E87" s="20" t="inlineStr">
        <is>
          <t>B1XZS82</t>
        </is>
      </c>
    </row>
    <row r="88">
      <c r="A88" s="28" t="n">
        <v>153691</v>
      </c>
      <c r="B88" s="2" t="inlineStr">
        <is>
          <t>ADNOC GAS PLC</t>
        </is>
      </c>
      <c r="C88" s="18" t="n">
        <v>112196.75</v>
      </c>
      <c r="D88" s="19">
        <f>C88/$C$115</f>
        <v/>
      </c>
      <c r="E88" s="20" t="inlineStr">
        <is>
          <t>BPJLW35</t>
        </is>
      </c>
    </row>
    <row r="89">
      <c r="A89" s="28" t="n">
        <v>2041744</v>
      </c>
      <c r="B89" s="2" t="inlineStr">
        <is>
          <t>ROSNEFT OIL CO PJSC COMMON STOCK RUB 0.01</t>
        </is>
      </c>
      <c r="C89" s="18" t="n">
        <v>59069.46</v>
      </c>
      <c r="D89" s="19">
        <f>C89/$C$115</f>
        <v/>
      </c>
      <c r="E89" s="20" t="inlineStr">
        <is>
          <t>0H5827S</t>
        </is>
      </c>
    </row>
    <row r="90">
      <c r="A90" s="28" t="n">
        <v>1677948</v>
      </c>
      <c r="B90" s="2" t="inlineStr">
        <is>
          <t>ROSNEFT OIL CO PJSC COMMON STOCK RUB</t>
        </is>
      </c>
      <c r="C90" s="18" t="n">
        <v>43742.93</v>
      </c>
      <c r="D90" s="19">
        <f>C90/$C$115</f>
        <v/>
      </c>
      <c r="E90" s="20" t="inlineStr">
        <is>
          <t>2H7674S</t>
        </is>
      </c>
    </row>
    <row r="91" customFormat="1" s="35">
      <c r="A91" s="30" t="n"/>
      <c r="B91" s="27" t="inlineStr">
        <is>
          <t>Subtotal</t>
        </is>
      </c>
      <c r="C91" s="29">
        <f>+C90+C89</f>
        <v/>
      </c>
      <c r="D91" s="31">
        <f>C91/$C$115</f>
        <v/>
      </c>
      <c r="E91" s="34" t="n"/>
      <c r="G91" s="3" t="n"/>
    </row>
    <row r="92">
      <c r="A92" s="28" t="n">
        <v>133931</v>
      </c>
      <c r="B92" s="2" t="inlineStr">
        <is>
          <t>ADNOC LOGISTICS &amp; SERVICES COMMON STOCK AED</t>
        </is>
      </c>
      <c r="C92" s="18" t="n">
        <v>102022.59</v>
      </c>
      <c r="D92" s="19">
        <f>C92/$C$115</f>
        <v/>
      </c>
      <c r="E92" s="20" t="inlineStr">
        <is>
          <t>6H9334S</t>
        </is>
      </c>
    </row>
    <row r="93">
      <c r="A93" s="28" t="n">
        <v>20379</v>
      </c>
      <c r="B93" s="2" t="inlineStr">
        <is>
          <t>MOTUS HOLDINGS LTD COMMON STOCK ZAR</t>
        </is>
      </c>
      <c r="C93" s="18" t="n">
        <v>93952.94</v>
      </c>
      <c r="D93" s="19">
        <f>C93/$C$115</f>
        <v/>
      </c>
      <c r="E93" s="20" t="inlineStr">
        <is>
          <t>BDRN3H0</t>
        </is>
      </c>
    </row>
    <row r="94">
      <c r="A94" s="28" t="n">
        <v>3657350</v>
      </c>
      <c r="B94" s="2" t="inlineStr">
        <is>
          <t>NOVOLIPETSK STEEL PJSC COMMON STOCK RUB</t>
        </is>
      </c>
      <c r="C94" s="18" t="n">
        <v>58042.54</v>
      </c>
      <c r="D94" s="19">
        <f>C94/$C$115</f>
        <v/>
      </c>
      <c r="E94" s="20" t="inlineStr">
        <is>
          <t>2H7675S</t>
        </is>
      </c>
    </row>
    <row r="95">
      <c r="A95" s="28" t="n">
        <v>180877</v>
      </c>
      <c r="B95" s="2" t="inlineStr">
        <is>
          <t>MAGNIT PJSC COMMON STOCK RUB 0.01</t>
        </is>
      </c>
      <c r="C95" s="18" t="n">
        <v>52669.11</v>
      </c>
      <c r="D95" s="19">
        <f>C95/$C$115</f>
        <v/>
      </c>
      <c r="E95" s="20" t="inlineStr">
        <is>
          <t>0H5813S</t>
        </is>
      </c>
    </row>
    <row r="96">
      <c r="A96" s="28" t="n">
        <v>1265335</v>
      </c>
      <c r="B96" s="2" t="inlineStr">
        <is>
          <t>GAZPROM NEFT PJSC COMMON STOCK RUB</t>
        </is>
      </c>
      <c r="C96" s="18" t="n">
        <v>47595.38</v>
      </c>
      <c r="D96" s="19">
        <f>C96/$C$115</f>
        <v/>
      </c>
      <c r="E96" s="20" t="inlineStr">
        <is>
          <t>0H5803S</t>
        </is>
      </c>
    </row>
    <row r="97">
      <c r="A97" s="28" t="n">
        <v>730066</v>
      </c>
      <c r="B97" s="2" t="inlineStr">
        <is>
          <t>TATNEFT PJSC COMMON STOCK RUB</t>
        </is>
      </c>
      <c r="C97" s="18" t="n">
        <v>25740.38</v>
      </c>
      <c r="D97" s="19">
        <f>C97/$C$115</f>
        <v/>
      </c>
      <c r="E97" s="20" t="inlineStr">
        <is>
          <t>0H5822S</t>
        </is>
      </c>
    </row>
    <row r="98">
      <c r="A98" s="28" t="n">
        <v>571359</v>
      </c>
      <c r="B98" s="2" t="inlineStr">
        <is>
          <t>TATNEFT PJSC PREFERENCE RUB 1</t>
        </is>
      </c>
      <c r="C98" s="18" t="n">
        <v>17839.6</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41055.87</v>
      </c>
      <c r="D100" s="19">
        <f>C100/$C$115</f>
        <v/>
      </c>
      <c r="E100" s="20" t="inlineStr">
        <is>
          <t>0H5802S</t>
        </is>
      </c>
    </row>
    <row r="101">
      <c r="A101" s="28" t="n">
        <v>21233273216</v>
      </c>
      <c r="B101" s="2" t="inlineStr">
        <is>
          <t>VTB BANK PJSC COMMON STOCK RUB 0.01</t>
        </is>
      </c>
      <c r="C101" s="18" t="n">
        <v>39276.56</v>
      </c>
      <c r="D101" s="19">
        <f>C101/$C$115</f>
        <v/>
      </c>
      <c r="E101" s="20" t="inlineStr">
        <is>
          <t>0H5837S</t>
        </is>
      </c>
    </row>
    <row r="102">
      <c r="A102" s="28" t="n">
        <v>4003270</v>
      </c>
      <c r="B102" s="2" t="inlineStr">
        <is>
          <t>DETSKY MIR PJSC COMMON STOCK RUB 0.0004</t>
        </is>
      </c>
      <c r="C102" s="18" t="n">
        <v>32227.47</v>
      </c>
      <c r="D102" s="19">
        <f>C102/$C$115</f>
        <v/>
      </c>
      <c r="E102" s="20" t="inlineStr">
        <is>
          <t>0H5850S</t>
        </is>
      </c>
    </row>
    <row r="103">
      <c r="A103" s="28" t="n">
        <v>29773</v>
      </c>
      <c r="B103" s="2" t="inlineStr">
        <is>
          <t>POLYUS PJSC COMMON STOCK RUB</t>
        </is>
      </c>
      <c r="C103" s="18" t="n">
        <v>28032.52</v>
      </c>
      <c r="D103" s="19">
        <f>C103/$C$115</f>
        <v/>
      </c>
      <c r="E103" s="20" t="inlineStr">
        <is>
          <t>2H7182S</t>
        </is>
      </c>
    </row>
    <row r="104">
      <c r="A104" s="28" t="n">
        <v>169819</v>
      </c>
      <c r="B104" s="2" t="inlineStr">
        <is>
          <t>YANDEX NV COMMON STOCK USD 0.01</t>
        </is>
      </c>
      <c r="C104" s="18" t="n">
        <v>24998.03</v>
      </c>
      <c r="D104" s="19">
        <f>C104/$C$115</f>
        <v/>
      </c>
      <c r="E104" s="20" t="inlineStr">
        <is>
          <t>0H6379S</t>
        </is>
      </c>
    </row>
    <row r="105">
      <c r="A105" s="28" t="n">
        <v>432517</v>
      </c>
      <c r="B105" s="2" t="inlineStr">
        <is>
          <t>MD MEDICAL GROUP INVESTMENTS PLC GDR USD</t>
        </is>
      </c>
      <c r="C105" s="18" t="n">
        <v>19160.98</v>
      </c>
      <c r="D105" s="19">
        <f>C105/$C$115</f>
        <v/>
      </c>
      <c r="E105" s="20" t="inlineStr">
        <is>
          <t>0H6371S</t>
        </is>
      </c>
    </row>
    <row r="106">
      <c r="A106" s="28" t="n">
        <v>12313057</v>
      </c>
      <c r="B106" s="2" t="inlineStr">
        <is>
          <t>SISTEMA PJSFC COMMON STOCK RUB 0.09</t>
        </is>
      </c>
      <c r="C106" s="18" t="n">
        <v>14401.77</v>
      </c>
      <c r="D106" s="19">
        <f>C106/$C$115</f>
        <v/>
      </c>
      <c r="E106" s="20" t="inlineStr">
        <is>
          <t>0H5808S</t>
        </is>
      </c>
    </row>
    <row r="107">
      <c r="A107" s="28" t="n">
        <v>577525</v>
      </c>
      <c r="B107" s="2" t="inlineStr">
        <is>
          <t>FIX PRICE GROUP LTD GDR</t>
        </is>
      </c>
      <c r="C107" s="18" t="n">
        <v>4219.28</v>
      </c>
      <c r="D107" s="19">
        <f>C107/$C$115</f>
        <v/>
      </c>
      <c r="E107" s="20" t="inlineStr">
        <is>
          <t>0H6372S</t>
        </is>
      </c>
    </row>
    <row r="108">
      <c r="A108" s="28" t="n">
        <v>75226</v>
      </c>
      <c r="B108" s="2" t="inlineStr">
        <is>
          <t>TCS GROUP HOLDING PLC GDR</t>
        </is>
      </c>
      <c r="C108" s="18" t="n">
        <v>1866.84</v>
      </c>
      <c r="D108" s="19">
        <f>C108/$C$115</f>
        <v/>
      </c>
      <c r="E108" s="20" t="inlineStr">
        <is>
          <t>0H6380S</t>
        </is>
      </c>
    </row>
    <row r="109">
      <c r="A109" s="28" t="n">
        <v>275182</v>
      </c>
      <c r="B109" s="2" t="inlineStr">
        <is>
          <t>X 5 RETAIL GROUP NV-REGS GDR</t>
        </is>
      </c>
      <c r="C109" s="18" t="n">
        <v>1136.53</v>
      </c>
      <c r="D109" s="19">
        <f>C109/$C$115</f>
        <v/>
      </c>
      <c r="E109" s="20" t="inlineStr">
        <is>
          <t>0H6365S</t>
        </is>
      </c>
    </row>
    <row r="110">
      <c r="A110" s="28" t="n">
        <v>552780</v>
      </c>
      <c r="B110" s="2" t="inlineStr">
        <is>
          <t>SEVERSTAL PAO GDR USD</t>
        </is>
      </c>
      <c r="C110" s="18" t="n">
        <v>258.21</v>
      </c>
      <c r="D110" s="19">
        <f>C110/$C$115</f>
        <v/>
      </c>
      <c r="E110" s="20" t="inlineStr">
        <is>
          <t>0H6368S</t>
        </is>
      </c>
    </row>
    <row r="111">
      <c r="A111" s="28" t="n"/>
      <c r="C111" s="18" t="n"/>
      <c r="D111" s="19" t="n"/>
      <c r="E111" s="20" t="n"/>
    </row>
    <row r="112">
      <c r="A112" s="21" t="n"/>
      <c r="B112" s="21" t="inlineStr">
        <is>
          <t>Total portfolio</t>
        </is>
      </c>
      <c r="C112" s="39" t="n">
        <v>19328942.32999999</v>
      </c>
      <c r="D112" s="19">
        <f>C112/$C$115</f>
        <v/>
      </c>
    </row>
    <row r="113">
      <c r="B113" s="21" t="inlineStr">
        <is>
          <t>Net Current Assets</t>
        </is>
      </c>
      <c r="C113" s="39" t="n">
        <v>123974.6400000006</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29.xml><?xml version="1.0" encoding="utf-8"?>
<worksheet xmlns="http://schemas.openxmlformats.org/spreadsheetml/2006/main">
  <sheetPr>
    <outlinePr summaryBelow="1" summaryRight="1"/>
    <pageSetUpPr/>
  </sheetPr>
  <dimension ref="A1:H118"/>
  <sheetViews>
    <sheetView workbookViewId="0">
      <selection activeCell="A8" sqref="A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June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C12/$C$114</f>
        <v/>
      </c>
      <c r="E12" s="38" t="inlineStr">
        <is>
          <t>5819115</t>
        </is>
      </c>
      <c r="H12" s="40" t="n"/>
    </row>
    <row r="13">
      <c r="A13" s="28" t="n">
        <v>53763</v>
      </c>
      <c r="B13" s="2" t="inlineStr">
        <is>
          <t>AL RAJHI BANK COMMON STOCK SAR 10</t>
        </is>
      </c>
      <c r="C13" s="18" t="n">
        <v>821927.6</v>
      </c>
      <c r="D13" s="19">
        <f>C13/$C$114</f>
        <v/>
      </c>
      <c r="E13" s="38" t="inlineStr">
        <is>
          <t>B12LZH9</t>
        </is>
      </c>
      <c r="H13" s="40" t="n"/>
    </row>
    <row r="14">
      <c r="A14" s="28" t="n">
        <v>90825</v>
      </c>
      <c r="B14" s="2" t="inlineStr">
        <is>
          <t>THE SAUDI NATIONAL BANK</t>
        </is>
      </c>
      <c r="C14" s="18" t="n">
        <v>699979.45</v>
      </c>
      <c r="D14" s="19">
        <f>C14/$C$114</f>
        <v/>
      </c>
      <c r="E14" s="20" t="inlineStr">
        <is>
          <t>BSHYYN1</t>
        </is>
      </c>
      <c r="H14" s="40" t="n"/>
    </row>
    <row r="15">
      <c r="A15" s="41" t="n">
        <v>4185</v>
      </c>
      <c r="B15" s="2" t="inlineStr">
        <is>
          <t>NASPERS LTD COMMON STOCK ZAR 2</t>
        </is>
      </c>
      <c r="C15" s="33" t="n">
        <v>590830.42</v>
      </c>
      <c r="D15" s="19">
        <f>C15/$C$114</f>
        <v/>
      </c>
      <c r="E15" s="20" t="inlineStr">
        <is>
          <t>6622691</t>
        </is>
      </c>
      <c r="H15" s="40" t="n"/>
    </row>
    <row r="16">
      <c r="A16" s="28" t="n">
        <v>84432</v>
      </c>
      <c r="B16" s="2" t="inlineStr">
        <is>
          <t>SAUDI ARABIAN OIL CO COMMON STOCK SAR</t>
        </is>
      </c>
      <c r="C16" s="18" t="n">
        <v>571030.54</v>
      </c>
      <c r="D16" s="19">
        <f>C16/$C$114</f>
        <v/>
      </c>
      <c r="E16" s="38" t="inlineStr">
        <is>
          <t>BJTM270</t>
        </is>
      </c>
      <c r="H16" s="40" t="n"/>
    </row>
    <row r="17">
      <c r="A17" s="28" t="n">
        <v>30265</v>
      </c>
      <c r="B17" s="2" t="inlineStr">
        <is>
          <t>SAUDI BASIC INDUSTRIES CORP COMMON STOCK SAR 10</t>
        </is>
      </c>
      <c r="C17" s="18" t="n">
        <v>559163.91</v>
      </c>
      <c r="D17" s="19">
        <f>C17/$C$114</f>
        <v/>
      </c>
      <c r="E17" s="38" t="inlineStr">
        <is>
          <t>B1324D0</t>
        </is>
      </c>
      <c r="H17" s="40" t="n"/>
    </row>
    <row r="18">
      <c r="A18" s="41" t="n">
        <v>193157</v>
      </c>
      <c r="B18" s="2" t="inlineStr">
        <is>
          <t>FIRSTRAND LTD COMMON STOCK ZAR 1</t>
        </is>
      </c>
      <c r="C18" s="33" t="n">
        <v>550259.6899999999</v>
      </c>
      <c r="D18" s="19">
        <f>C18/$C$114</f>
        <v/>
      </c>
      <c r="E18" s="20" t="inlineStr">
        <is>
          <t>6606996</t>
        </is>
      </c>
      <c r="H18" s="40" t="n"/>
    </row>
    <row r="19">
      <c r="A19" s="28" t="n">
        <v>145911</v>
      </c>
      <c r="B19" s="2" t="inlineStr">
        <is>
          <t>QATAR NATIONAL BANK QPSC COMMON STOCK QAR 1</t>
        </is>
      </c>
      <c r="C19" s="18" t="n">
        <v>486189.86</v>
      </c>
      <c r="D19" s="19">
        <f>C19/$C$114</f>
        <v/>
      </c>
      <c r="E19" s="20" t="inlineStr">
        <is>
          <t>6148197</t>
        </is>
      </c>
      <c r="H19" s="40" t="n"/>
    </row>
    <row r="20">
      <c r="A20" s="28" t="n">
        <v>40325</v>
      </c>
      <c r="B20" s="2" t="inlineStr">
        <is>
          <t>SAUDI TELECOM CO COMMON STOCK</t>
        </is>
      </c>
      <c r="C20" s="18" t="n">
        <v>367863.06</v>
      </c>
      <c r="D20" s="19">
        <f>C20/$C$114</f>
        <v/>
      </c>
      <c r="E20" s="20" t="inlineStr">
        <is>
          <t>B12M7Q5</t>
        </is>
      </c>
      <c r="H20" s="40" t="n"/>
    </row>
    <row r="21">
      <c r="A21" s="28" t="n">
        <v>16143</v>
      </c>
      <c r="B21" s="2" t="inlineStr">
        <is>
          <t>JUMBO SA COMMON STOCK EUR 0.88</t>
        </is>
      </c>
      <c r="C21" s="18" t="n">
        <v>349095.63</v>
      </c>
      <c r="D21" s="19">
        <f>C21/$C$114</f>
        <v/>
      </c>
      <c r="E21" s="20" t="inlineStr">
        <is>
          <t>7243530</t>
        </is>
      </c>
      <c r="H21" s="40" t="n"/>
    </row>
    <row r="22">
      <c r="A22" s="28" t="n">
        <v>31177</v>
      </c>
      <c r="B22" s="2" t="inlineStr">
        <is>
          <t>GOLD FIELDS LTD COMMON STOCK ZAR 50</t>
        </is>
      </c>
      <c r="C22" s="18" t="n">
        <v>339635.16</v>
      </c>
      <c r="D22" s="19">
        <f>C22/$C$114</f>
        <v/>
      </c>
      <c r="E22" s="20" t="inlineStr">
        <is>
          <t>6280215</t>
        </is>
      </c>
      <c r="H22" s="40" t="n"/>
    </row>
    <row r="23">
      <c r="A23" s="28" t="n">
        <v>244040</v>
      </c>
      <c r="B23" s="2" t="inlineStr">
        <is>
          <t>EMAAR PROPERTIES PJSC COMMON STOCK AED 1</t>
        </is>
      </c>
      <c r="C23" s="18" t="n">
        <v>334986.32</v>
      </c>
      <c r="D23" s="19">
        <f>C23/$C$114</f>
        <v/>
      </c>
      <c r="E23" s="20" t="inlineStr">
        <is>
          <t>B01RM25</t>
        </is>
      </c>
      <c r="H23" s="40" t="n"/>
    </row>
    <row r="24">
      <c r="A24" s="28" t="n">
        <v>45012</v>
      </c>
      <c r="B24" s="2" t="inlineStr">
        <is>
          <t>STANDARD BANK GROUP LTD COMMON STOCK ZAR 10</t>
        </is>
      </c>
      <c r="C24" s="18" t="n">
        <v>332753.91</v>
      </c>
      <c r="D24" s="19">
        <f>C24/$C$114</f>
        <v/>
      </c>
      <c r="E24" s="20" t="inlineStr">
        <is>
          <t>B030GJ7</t>
        </is>
      </c>
      <c r="H24" s="40" t="n"/>
    </row>
    <row r="25">
      <c r="A25" s="28" t="n">
        <v>18315</v>
      </c>
      <c r="B25" s="2" t="inlineStr">
        <is>
          <t>BID CORP LTD COMMON STOCK ZAR</t>
        </is>
      </c>
      <c r="C25" s="18" t="n">
        <v>315163.56</v>
      </c>
      <c r="D25" s="19">
        <f>C25/$C$114</f>
        <v/>
      </c>
      <c r="E25" s="20" t="inlineStr">
        <is>
          <t>BZBFKT7</t>
        </is>
      </c>
      <c r="H25" s="40" t="n"/>
    </row>
    <row r="26">
      <c r="A26" s="28" t="n">
        <v>43770</v>
      </c>
      <c r="B26" s="2" t="inlineStr">
        <is>
          <t>ALINMA BANK COMMON STOCK SAR 10</t>
        </is>
      </c>
      <c r="C26" s="18" t="n">
        <v>307040.18</v>
      </c>
      <c r="D26" s="19">
        <f>C26/$C$114</f>
        <v/>
      </c>
      <c r="E26" s="20" t="inlineStr">
        <is>
          <t>B39NWT3</t>
        </is>
      </c>
      <c r="H26" s="40" t="n"/>
    </row>
    <row r="27">
      <c r="A27" s="28" t="n">
        <v>22069</v>
      </c>
      <c r="B27" s="2" t="inlineStr">
        <is>
          <t>OPAP SA COMMON STOCK EUR 0.3</t>
        </is>
      </c>
      <c r="C27" s="18" t="n">
        <v>302634.93</v>
      </c>
      <c r="D27" s="19">
        <f>C27/$C$114</f>
        <v/>
      </c>
      <c r="E27" s="20" t="inlineStr">
        <is>
          <t>7107250</t>
        </is>
      </c>
      <c r="H27" s="40" t="n"/>
    </row>
    <row r="28">
      <c r="A28" s="28" t="n">
        <v>2436</v>
      </c>
      <c r="B28" s="2" t="inlineStr">
        <is>
          <t>ELM CO COMMON STOCK SAR 10</t>
        </is>
      </c>
      <c r="C28" s="18" t="n">
        <v>297319.1</v>
      </c>
      <c r="D28" s="19">
        <f>C28/$C$114</f>
        <v/>
      </c>
      <c r="E28" s="20" t="inlineStr">
        <is>
          <t>BNYDSH8</t>
        </is>
      </c>
      <c r="H28" s="40" t="n"/>
    </row>
    <row r="29">
      <c r="A29" s="28" t="n">
        <v>362649</v>
      </c>
      <c r="B29" s="2" t="inlineStr">
        <is>
          <t>LUKOIL PJSC COMMON STOCK RUB 0.025 RUB</t>
        </is>
      </c>
      <c r="C29" s="18" t="n">
        <v>164248.19</v>
      </c>
      <c r="D29" s="19">
        <f>C29/$C$114</f>
        <v/>
      </c>
      <c r="E29" s="20" t="inlineStr">
        <is>
          <t>2H6442S</t>
        </is>
      </c>
      <c r="H29" s="40" t="n"/>
    </row>
    <row r="30">
      <c r="A30" s="28" t="n">
        <v>262047</v>
      </c>
      <c r="B30" s="2" t="inlineStr">
        <is>
          <t>LUKOIL PJSC COMMON STOCK RUB</t>
        </is>
      </c>
      <c r="C30" s="18" t="n">
        <v>128532.94</v>
      </c>
      <c r="D30" s="19">
        <f>C30/$C$114</f>
        <v/>
      </c>
      <c r="E30" s="20" t="inlineStr">
        <is>
          <t>0H5797S</t>
        </is>
      </c>
      <c r="H30" s="40" t="n"/>
    </row>
    <row r="31" customFormat="1" s="35">
      <c r="A31" s="30" t="n"/>
      <c r="B31" s="27" t="inlineStr">
        <is>
          <t>Subtotal</t>
        </is>
      </c>
      <c r="C31" s="29">
        <f>+C30+C29</f>
        <v/>
      </c>
      <c r="D31" s="31">
        <f>C31/$C$114</f>
        <v/>
      </c>
      <c r="E31" s="34" t="n"/>
      <c r="G31" s="3" t="n"/>
    </row>
    <row r="32">
      <c r="A32" s="41" t="n">
        <v>30074</v>
      </c>
      <c r="B32" s="2" t="inlineStr">
        <is>
          <t>SHOPRITE HOLDINGS LTD COMMON STOCK ZAR 113.4</t>
        </is>
      </c>
      <c r="C32" s="33" t="n">
        <v>282490.9</v>
      </c>
      <c r="D32" s="19">
        <f>C32/$C$114</f>
        <v/>
      </c>
      <c r="E32" s="38" t="inlineStr">
        <is>
          <t>6801575</t>
        </is>
      </c>
      <c r="H32" s="40" t="n"/>
    </row>
    <row r="33">
      <c r="A33" s="28" t="n">
        <v>14056</v>
      </c>
      <c r="B33" s="2" t="inlineStr">
        <is>
          <t>MOTOR OIL HELLAS CORINTH REFINERIES SA COMMON STOCK EUR 0.75</t>
        </is>
      </c>
      <c r="C33" s="18" t="n">
        <v>279839.72</v>
      </c>
      <c r="D33" s="19">
        <f>C33/$C$114</f>
        <v/>
      </c>
      <c r="E33" s="20" t="inlineStr">
        <is>
          <t>5996234</t>
        </is>
      </c>
      <c r="H33" s="40" t="n"/>
    </row>
    <row r="34">
      <c r="A34" s="28" t="n">
        <v>38596</v>
      </c>
      <c r="B34" s="2" t="inlineStr">
        <is>
          <t>RIYAD BANK COMMON STOCK SAR 10</t>
        </is>
      </c>
      <c r="C34" s="18" t="n">
        <v>271150.02</v>
      </c>
      <c r="D34" s="19">
        <f>C34/$C$114</f>
        <v/>
      </c>
      <c r="E34" s="20" t="inlineStr">
        <is>
          <t>B12LZW4</t>
        </is>
      </c>
      <c r="H34" s="40" t="n"/>
    </row>
    <row r="35">
      <c r="A35" s="28" t="n">
        <v>35367</v>
      </c>
      <c r="B35" s="2" t="inlineStr">
        <is>
          <t>ABSA GROUP LTD</t>
        </is>
      </c>
      <c r="C35" s="18" t="n">
        <v>247242.48</v>
      </c>
      <c r="D35" s="19">
        <f>C35/$C$114</f>
        <v/>
      </c>
      <c r="E35" s="20" t="inlineStr">
        <is>
          <t>BFX05H3</t>
        </is>
      </c>
      <c r="H35" s="40" t="n"/>
    </row>
    <row r="36">
      <c r="A36" s="28" t="n">
        <v>6612</v>
      </c>
      <c r="B36" s="2" t="inlineStr">
        <is>
          <t>ARABIAN CONTRACTING SERVICES CO COMMON STOCK SAR</t>
        </is>
      </c>
      <c r="C36" s="18" t="n">
        <v>246539.86</v>
      </c>
      <c r="D36" s="19">
        <f>C36/$C$114</f>
        <v/>
      </c>
      <c r="E36" s="20" t="inlineStr">
        <is>
          <t>BP4DC81</t>
        </is>
      </c>
      <c r="H36" s="40" t="n"/>
    </row>
    <row r="37">
      <c r="A37" s="41" t="n">
        <v>226609</v>
      </c>
      <c r="B37" s="2" t="inlineStr">
        <is>
          <t>ALDAR PROPERTIES PJSC COMMON STOCK AED 1</t>
        </is>
      </c>
      <c r="C37" s="18" t="n">
        <v>246032.88</v>
      </c>
      <c r="D37" s="19">
        <f>C37/$C$114</f>
        <v/>
      </c>
      <c r="E37" s="20" t="inlineStr">
        <is>
          <t>B0LX3Y2</t>
        </is>
      </c>
      <c r="H37" s="40" t="n"/>
    </row>
    <row r="38">
      <c r="A38" s="28" t="n">
        <v>309743</v>
      </c>
      <c r="B38" s="2" t="inlineStr">
        <is>
          <t>ADNOC DRILLING CO PJSC COMMON STOCK AED</t>
        </is>
      </c>
      <c r="C38" s="18" t="n">
        <v>236134.55</v>
      </c>
      <c r="D38" s="19">
        <f>C38/$C$114</f>
        <v/>
      </c>
      <c r="E38" s="38" t="inlineStr">
        <is>
          <t>BN12D39</t>
        </is>
      </c>
      <c r="H38" s="40" t="n"/>
    </row>
    <row r="39">
      <c r="A39" s="28" t="n">
        <v>8567</v>
      </c>
      <c r="B39" s="2" t="inlineStr">
        <is>
          <t>SABIC AGRI-NUTRIENTS CO COMMON STOCK SAR 10</t>
        </is>
      </c>
      <c r="C39" s="18" t="n">
        <v>232839.31</v>
      </c>
      <c r="D39" s="19">
        <f>C39/$C$114</f>
        <v/>
      </c>
      <c r="E39" s="38" t="inlineStr">
        <is>
          <t>B1323K0</t>
        </is>
      </c>
      <c r="H39" s="40" t="n"/>
    </row>
    <row r="40">
      <c r="A40" s="28" t="n">
        <v>95185</v>
      </c>
      <c r="B40" s="2" t="inlineStr">
        <is>
          <t>SANLAM LTD COMMON STOCK ZAR 1</t>
        </is>
      </c>
      <c r="C40" s="18" t="n">
        <v>231052.8</v>
      </c>
      <c r="D40" s="19">
        <f>C40/$C$114</f>
        <v/>
      </c>
      <c r="E40" s="38" t="inlineStr">
        <is>
          <t>B0L6750</t>
        </is>
      </c>
      <c r="H40" s="40" t="n"/>
    </row>
    <row r="41">
      <c r="A41" s="28" t="n">
        <v>13785</v>
      </c>
      <c r="B41" s="2" t="inlineStr">
        <is>
          <t>ANGLOGOLD ASHANTI LTD COMMON STOCK ZAR 25</t>
        </is>
      </c>
      <c r="C41" s="18" t="n">
        <v>228309.45</v>
      </c>
      <c r="D41" s="19">
        <f>C41/$C$114</f>
        <v/>
      </c>
      <c r="E41" s="38" t="inlineStr">
        <is>
          <t>6565655</t>
        </is>
      </c>
      <c r="H41" s="40" t="n"/>
    </row>
    <row r="42">
      <c r="A42" s="28" t="n">
        <v>8860909</v>
      </c>
      <c r="B42" s="2" t="inlineStr">
        <is>
          <t>GAZPROM PJSC COMMON STOCK RUB</t>
        </is>
      </c>
      <c r="C42" s="18" t="n">
        <v>200718.57</v>
      </c>
      <c r="D42" s="19">
        <f>C42/$C$114</f>
        <v/>
      </c>
      <c r="E42" s="38" t="inlineStr">
        <is>
          <t>0H5796S</t>
        </is>
      </c>
      <c r="H42" s="40" t="n"/>
    </row>
    <row r="43">
      <c r="A43" s="28" t="n">
        <v>5365084</v>
      </c>
      <c r="B43" s="2" t="inlineStr">
        <is>
          <t>GAZPROM PJSC ADR</t>
        </is>
      </c>
      <c r="C43" s="18" t="n">
        <v>24535.02</v>
      </c>
      <c r="D43" s="19">
        <f>C43/$C$114</f>
        <v/>
      </c>
      <c r="E43" s="20" t="inlineStr">
        <is>
          <t>0H6364S</t>
        </is>
      </c>
      <c r="H43" s="40" t="n"/>
    </row>
    <row r="44" customFormat="1" s="35">
      <c r="A44" s="30" t="n"/>
      <c r="B44" s="27" t="inlineStr">
        <is>
          <t>Subtotal</t>
        </is>
      </c>
      <c r="C44" s="29">
        <f>+C43+C42</f>
        <v/>
      </c>
      <c r="D44" s="31">
        <f>C44/$C$114</f>
        <v/>
      </c>
      <c r="E44" s="34" t="n"/>
      <c r="G44" s="3" t="n"/>
    </row>
    <row r="45">
      <c r="A45" s="28" t="n">
        <v>20411</v>
      </c>
      <c r="B45" s="2" t="inlineStr">
        <is>
          <t>CLICKS GROUP LTD COMMON STOCK ZAR 1</t>
        </is>
      </c>
      <c r="C45" s="18" t="n">
        <v>221987.37</v>
      </c>
      <c r="D45" s="19">
        <f>C45/$C$114</f>
        <v/>
      </c>
      <c r="E45" s="20" t="inlineStr">
        <is>
          <t>6105578</t>
        </is>
      </c>
      <c r="H45" s="40" t="n"/>
    </row>
    <row r="46">
      <c r="A46" s="28" t="n">
        <v>123763</v>
      </c>
      <c r="B46" s="2" t="inlineStr">
        <is>
          <t>ABU DHABI COMMERCIAL BANK PJSC COMMON STOCK AED 1</t>
        </is>
      </c>
      <c r="C46" s="18" t="n">
        <v>214676.19</v>
      </c>
      <c r="D46" s="19">
        <f>C46/$C$114</f>
        <v/>
      </c>
      <c r="E46" s="20" t="inlineStr">
        <is>
          <t>6545464</t>
        </is>
      </c>
      <c r="H46" s="40" t="n"/>
    </row>
    <row r="47">
      <c r="A47" s="28" t="n">
        <v>7955</v>
      </c>
      <c r="B47" s="2" t="inlineStr">
        <is>
          <t>LEEJAM SPORTS CO JSC COMMON STOCK SAR 10</t>
        </is>
      </c>
      <c r="C47" s="18" t="n">
        <v>214537.74</v>
      </c>
      <c r="D47" s="19">
        <f>C47/$C$114</f>
        <v/>
      </c>
      <c r="E47" s="20" t="inlineStr">
        <is>
          <t>BF12ZV5</t>
        </is>
      </c>
      <c r="H47" s="40" t="n"/>
    </row>
    <row r="48">
      <c r="A48" s="41" t="n">
        <v>14455036</v>
      </c>
      <c r="B48" s="2" t="inlineStr">
        <is>
          <t>SBERBANK OF RUSSIA PJSC PREFERENCE RUB 3</t>
        </is>
      </c>
      <c r="C48" s="33" t="n">
        <v>180628.43</v>
      </c>
      <c r="D48" s="19">
        <f>C48/$C$114</f>
        <v/>
      </c>
      <c r="E48" s="20" t="inlineStr">
        <is>
          <t>0H5856S</t>
        </is>
      </c>
      <c r="H48" s="40" t="n"/>
    </row>
    <row r="49">
      <c r="A49" s="28" t="n">
        <v>2355925</v>
      </c>
      <c r="B49" s="2" t="inlineStr">
        <is>
          <t>SBERBANK OF RUSSIA PJSC</t>
        </is>
      </c>
      <c r="C49" s="18" t="n">
        <v>29226.59</v>
      </c>
      <c r="D49" s="19">
        <f>C49/$C$114</f>
        <v/>
      </c>
      <c r="E49" s="20" t="inlineStr">
        <is>
          <t>0H5855S</t>
        </is>
      </c>
      <c r="H49" s="40" t="n"/>
    </row>
    <row r="50" customFormat="1" s="35">
      <c r="A50" s="30" t="n"/>
      <c r="B50" s="27" t="inlineStr">
        <is>
          <t>Subtotal</t>
        </is>
      </c>
      <c r="C50" s="29">
        <f>+C49+C48</f>
        <v/>
      </c>
      <c r="D50" s="31">
        <f>C50/$C$114</f>
        <v/>
      </c>
      <c r="E50" s="34" t="n"/>
      <c r="G50" s="3" t="n"/>
    </row>
    <row r="51">
      <c r="A51" s="28" t="n">
        <v>14849</v>
      </c>
      <c r="B51" s="2" t="inlineStr">
        <is>
          <t>RIYADH CABLES GROUP CO COMMON STOCK SAR 10</t>
        </is>
      </c>
      <c r="C51" s="18" t="n">
        <v>203344.73</v>
      </c>
      <c r="D51" s="19">
        <f>C51/$C$114</f>
        <v/>
      </c>
      <c r="E51" s="20" t="inlineStr">
        <is>
          <t>BNBPXW7</t>
        </is>
      </c>
    </row>
    <row r="52">
      <c r="A52" s="28" t="n">
        <v>13199</v>
      </c>
      <c r="B52" s="2" t="inlineStr">
        <is>
          <t>UNITED INTERNATIONAL TRANSPORTATION CO COMMON STOCK SAR 10</t>
        </is>
      </c>
      <c r="C52" s="18" t="n">
        <v>202062.83</v>
      </c>
      <c r="D52" s="19">
        <f>C52/$C$114</f>
        <v/>
      </c>
      <c r="E52" s="20" t="inlineStr">
        <is>
          <t>B2493D0</t>
        </is>
      </c>
    </row>
    <row r="53">
      <c r="A53" s="28" t="n">
        <v>1672</v>
      </c>
      <c r="B53" s="2" t="inlineStr">
        <is>
          <t>GRUPA KETY SA COMMON STOCK PLN 2.5</t>
        </is>
      </c>
      <c r="C53" s="18" t="n">
        <v>199393.22</v>
      </c>
      <c r="D53" s="19">
        <f>C53/$C$114</f>
        <v/>
      </c>
      <c r="E53" s="20" t="inlineStr">
        <is>
          <t>5216385</t>
        </is>
      </c>
    </row>
    <row r="54">
      <c r="A54" s="28" t="n">
        <v>2526</v>
      </c>
      <c r="B54" s="2" t="inlineStr">
        <is>
          <t>KRUK SA COMMON STOCK PLN 1</t>
        </is>
      </c>
      <c r="C54" s="18" t="n">
        <v>199226.8</v>
      </c>
      <c r="D54" s="19">
        <f>C54/$C$114</f>
        <v/>
      </c>
      <c r="E54" s="20" t="inlineStr">
        <is>
          <t>B4PTLY0</t>
        </is>
      </c>
    </row>
    <row r="55">
      <c r="A55" s="28" t="n">
        <v>40456</v>
      </c>
      <c r="B55" s="2" t="inlineStr">
        <is>
          <t>VODACOM GROUP LTD COMMON STOCK ZAR</t>
        </is>
      </c>
      <c r="C55" s="18" t="n">
        <v>197349.7</v>
      </c>
      <c r="D55" s="19">
        <f>C55/$C$114</f>
        <v/>
      </c>
      <c r="E55" s="20" t="inlineStr">
        <is>
          <t>B65B4D0</t>
        </is>
      </c>
    </row>
    <row r="56">
      <c r="A56" s="28" t="n">
        <v>19263</v>
      </c>
      <c r="B56" s="2" t="inlineStr">
        <is>
          <t>ETIHAD ETISALAT CO COMMON STOCK SAR 10</t>
        </is>
      </c>
      <c r="C56" s="18" t="n">
        <v>193500.45</v>
      </c>
      <c r="D56" s="19">
        <f>C56/$C$114</f>
        <v/>
      </c>
      <c r="E56" s="20" t="inlineStr">
        <is>
          <t>B12LR51</t>
        </is>
      </c>
    </row>
    <row r="57">
      <c r="A57" s="28" t="n">
        <v>5994</v>
      </c>
      <c r="B57" s="2" t="inlineStr">
        <is>
          <t>ARABIAN DRILLING CO COMMON STOCK SAR 10</t>
        </is>
      </c>
      <c r="C57" s="18" t="n">
        <v>193076.98</v>
      </c>
      <c r="D57" s="19">
        <f>C57/$C$114</f>
        <v/>
      </c>
      <c r="E57" s="20" t="inlineStr">
        <is>
          <t>BPNZYP9</t>
        </is>
      </c>
    </row>
    <row r="58">
      <c r="A58" s="28" t="n">
        <v>721867</v>
      </c>
      <c r="B58" s="2" t="inlineStr">
        <is>
          <t>AL ANSARI FINANCIAL SERVICES PJSC COMMON STOCK AED</t>
        </is>
      </c>
      <c r="C58" s="18" t="n">
        <v>188592.77</v>
      </c>
      <c r="D58" s="19">
        <f>C58/$C$114</f>
        <v/>
      </c>
      <c r="E58" s="20" t="inlineStr">
        <is>
          <t>BMWB101</t>
        </is>
      </c>
    </row>
    <row r="59">
      <c r="A59" s="28" t="n">
        <v>3693</v>
      </c>
      <c r="B59" s="2" t="inlineStr">
        <is>
          <t>MOUWASAT MEDICAL SERVICES CO COMMON STOCK SAR 10</t>
        </is>
      </c>
      <c r="C59" s="18" t="n">
        <v>186646.09</v>
      </c>
      <c r="D59" s="19">
        <f>C59/$C$114</f>
        <v/>
      </c>
      <c r="E59" s="20" t="inlineStr">
        <is>
          <t>B403QG4</t>
        </is>
      </c>
    </row>
    <row r="60">
      <c r="A60" s="28" t="n">
        <v>16665</v>
      </c>
      <c r="B60" s="2" t="inlineStr">
        <is>
          <t>BIDVEST GROUP LTD/THE COMMON STOCK ZAR 5</t>
        </is>
      </c>
      <c r="C60" s="18" t="n">
        <v>181503.09</v>
      </c>
      <c r="D60" s="19">
        <f>C60/$C$114</f>
        <v/>
      </c>
      <c r="E60" s="20" t="inlineStr">
        <is>
          <t>6100089</t>
        </is>
      </c>
    </row>
    <row r="61">
      <c r="A61" s="28" t="n">
        <v>196322</v>
      </c>
      <c r="B61" s="2" t="inlineStr">
        <is>
          <t>QATAR GAS TRANSPORT CO LTD COMMON STOCK QAR 1</t>
        </is>
      </c>
      <c r="C61" s="18" t="n">
        <v>176564.96</v>
      </c>
      <c r="D61" s="19">
        <f>C61/$C$114</f>
        <v/>
      </c>
      <c r="E61" s="20" t="inlineStr">
        <is>
          <t>B0MLBC9</t>
        </is>
      </c>
    </row>
    <row r="62">
      <c r="A62" s="28" t="n">
        <v>33471</v>
      </c>
      <c r="B62" s="2" t="inlineStr">
        <is>
          <t>IMPALA PLATINUM HOLDINGS LTD COMMON STOCK ZAR 0</t>
        </is>
      </c>
      <c r="C62" s="18" t="n">
        <v>174647.85</v>
      </c>
      <c r="D62" s="19">
        <f>C62/$C$114</f>
        <v/>
      </c>
      <c r="E62" s="20" t="inlineStr">
        <is>
          <t>B1FFT76</t>
        </is>
      </c>
    </row>
    <row r="63">
      <c r="A63" s="28" t="n">
        <v>18372</v>
      </c>
      <c r="B63" s="2" t="inlineStr">
        <is>
          <t>HUMANSOFT HOLDING CO KSC COMMON STOCK KWD 100</t>
        </is>
      </c>
      <c r="C63" s="18" t="n">
        <v>174246.27</v>
      </c>
      <c r="D63" s="19">
        <f>C63/$C$114</f>
        <v/>
      </c>
      <c r="E63" s="20" t="inlineStr">
        <is>
          <t>B13BYX7</t>
        </is>
      </c>
    </row>
    <row r="64">
      <c r="A64" s="28" t="n">
        <v>49840</v>
      </c>
      <c r="B64" s="2" t="inlineStr">
        <is>
          <t>JARIR MARKETING CO COMMON STOCK SAR 1</t>
        </is>
      </c>
      <c r="C64" s="18" t="n">
        <v>172667.51</v>
      </c>
      <c r="D64" s="19">
        <f>C64/$C$114</f>
        <v/>
      </c>
      <c r="E64" s="20" t="inlineStr">
        <is>
          <t>B128FM5</t>
        </is>
      </c>
    </row>
    <row r="65">
      <c r="A65" s="28" t="n">
        <v>71649</v>
      </c>
      <c r="B65" s="2" t="inlineStr">
        <is>
          <t>INDUSTRIES QATAR QSC COMMON STOCK QAR 1</t>
        </is>
      </c>
      <c r="C65" s="18" t="n">
        <v>171856.75</v>
      </c>
      <c r="D65" s="19">
        <f>C65/$C$114</f>
        <v/>
      </c>
      <c r="E65" s="20" t="inlineStr">
        <is>
          <t>6673570</t>
        </is>
      </c>
    </row>
    <row r="66">
      <c r="A66" s="28" t="n">
        <v>256601</v>
      </c>
      <c r="B66" s="2" t="inlineStr">
        <is>
          <t>SALIK CO PJSC COMMON STOCK AED 0.01</t>
        </is>
      </c>
      <c r="C66" s="18" t="n">
        <v>171443.48</v>
      </c>
      <c r="D66" s="19">
        <f>C66/$C$114</f>
        <v/>
      </c>
      <c r="E66" s="20" t="inlineStr">
        <is>
          <t>BJN5952</t>
        </is>
      </c>
    </row>
    <row r="67">
      <c r="A67" s="28" t="n">
        <v>144384</v>
      </c>
      <c r="B67" s="2" t="inlineStr">
        <is>
          <t>DUBAI ISLAMIC BANK PJSC COMMON STOCK AED 1</t>
        </is>
      </c>
      <c r="C67" s="18" t="n">
        <v>168509.19</v>
      </c>
      <c r="D67" s="19">
        <f>C67/$C$114</f>
        <v/>
      </c>
      <c r="E67" s="20" t="inlineStr">
        <is>
          <t>6283452</t>
        </is>
      </c>
    </row>
    <row r="68">
      <c r="A68" s="28" t="n">
        <v>292031</v>
      </c>
      <c r="B68" s="2" t="inlineStr">
        <is>
          <t>DUBAI ELECTRICITY &amp; WATER AU</t>
        </is>
      </c>
      <c r="C68" s="18" t="n">
        <v>163221.55</v>
      </c>
      <c r="D68" s="19">
        <f>C68/$C$114</f>
        <v/>
      </c>
      <c r="E68" s="20" t="inlineStr">
        <is>
          <t>BJLTVJ4</t>
        </is>
      </c>
    </row>
    <row r="69">
      <c r="A69" s="28" t="n">
        <v>20423</v>
      </c>
      <c r="B69" s="2" t="inlineStr">
        <is>
          <t>SAUDI AWWAL BANK COMMON STOCK SAR 10</t>
        </is>
      </c>
      <c r="C69" s="18" t="n">
        <v>162751.75</v>
      </c>
      <c r="D69" s="19">
        <f>C69/$C$114</f>
        <v/>
      </c>
      <c r="E69" s="20" t="inlineStr">
        <is>
          <t>B12LSY7</t>
        </is>
      </c>
    </row>
    <row r="70">
      <c r="A70" s="28" t="n">
        <v>55575</v>
      </c>
      <c r="B70" s="2" t="inlineStr">
        <is>
          <t>AVI LTD COMMON STOCK ZAR 5</t>
        </is>
      </c>
      <c r="C70" s="18" t="n">
        <v>157533.6</v>
      </c>
      <c r="D70" s="19">
        <f>C70/$C$114</f>
        <v/>
      </c>
      <c r="E70" s="20" t="inlineStr">
        <is>
          <t>6040958</t>
        </is>
      </c>
    </row>
    <row r="71">
      <c r="A71" s="28" t="n">
        <v>43841</v>
      </c>
      <c r="B71" s="2" t="inlineStr">
        <is>
          <t>BANCA TRANSILVANIA SA COMMON STOCK RON 1</t>
        </is>
      </c>
      <c r="C71" s="18" t="n">
        <v>157337.72</v>
      </c>
      <c r="D71" s="19">
        <f>C71/$C$114</f>
        <v/>
      </c>
      <c r="E71" s="20" t="inlineStr">
        <is>
          <t>5393307</t>
        </is>
      </c>
    </row>
    <row r="72">
      <c r="A72" s="28" t="n">
        <v>1268490</v>
      </c>
      <c r="B72" s="2" t="inlineStr">
        <is>
          <t>NOVATEK PJSC COMMON STOCK RUB 0.1</t>
        </is>
      </c>
      <c r="C72" s="18" t="n">
        <v>141468.75</v>
      </c>
      <c r="D72" s="19">
        <f>C72/$C$114</f>
        <v/>
      </c>
      <c r="E72" s="20" t="inlineStr">
        <is>
          <t>2H6464S</t>
        </is>
      </c>
    </row>
    <row r="73">
      <c r="A73" s="28" t="n">
        <v>103572</v>
      </c>
      <c r="B73" s="2" t="inlineStr">
        <is>
          <t>NOVATEK PJSC COMMON STOCK RUB 0.1</t>
        </is>
      </c>
      <c r="C73" s="18" t="n">
        <v>12509.41</v>
      </c>
      <c r="D73" s="19">
        <f>C73/$C$114</f>
        <v/>
      </c>
      <c r="E73" s="20" t="inlineStr">
        <is>
          <t>0H5828S</t>
        </is>
      </c>
    </row>
    <row r="74" customFormat="1" s="35">
      <c r="A74" s="30" t="n"/>
      <c r="B74" s="27" t="inlineStr">
        <is>
          <t>Subtotal</t>
        </is>
      </c>
      <c r="C74" s="29">
        <f>+C73+C72</f>
        <v/>
      </c>
      <c r="D74" s="31">
        <f>C74/$C$114</f>
        <v/>
      </c>
      <c r="E74" s="34" t="n"/>
      <c r="G74" s="3" t="n"/>
    </row>
    <row r="75">
      <c r="A75" s="28" t="n">
        <v>300201</v>
      </c>
      <c r="B75" s="2" t="inlineStr">
        <is>
          <t>OLD MUTUAL LTD COMMON STOCK ZAR</t>
        </is>
      </c>
      <c r="C75" s="18" t="n">
        <v>151491.73</v>
      </c>
      <c r="D75" s="19">
        <f>C75/$C$114</f>
        <v/>
      </c>
      <c r="E75" s="20" t="inlineStr">
        <is>
          <t>BDVPYN5</t>
        </is>
      </c>
    </row>
    <row r="76">
      <c r="A76" s="28" t="n">
        <v>66726</v>
      </c>
      <c r="B76" s="2" t="inlineStr">
        <is>
          <t>ABU DHABI ISLAMIC BANK PJSC COMMON STOCK AED 1</t>
        </is>
      </c>
      <c r="C76" s="18" t="n">
        <v>150034.94</v>
      </c>
      <c r="D76" s="19">
        <f>C76/$C$114</f>
        <v/>
      </c>
      <c r="E76" s="20" t="inlineStr">
        <is>
          <t>6001728</t>
        </is>
      </c>
    </row>
    <row r="77">
      <c r="A77" s="28" t="n">
        <v>60427</v>
      </c>
      <c r="B77" s="2" t="inlineStr">
        <is>
          <t>OOREDOO QPSC COMMON STOCK QAR 1</t>
        </is>
      </c>
      <c r="C77" s="18" t="n">
        <v>144417.44</v>
      </c>
      <c r="D77" s="19">
        <f>C77/$C$114</f>
        <v/>
      </c>
      <c r="E77" s="20" t="inlineStr">
        <is>
          <t>6158174</t>
        </is>
      </c>
    </row>
    <row r="78">
      <c r="A78" s="28" t="n">
        <v>49360</v>
      </c>
      <c r="B78" s="2" t="inlineStr">
        <is>
          <t>FIRST ABU DHABI BANK PJSC COMMON STOCK AED 1</t>
        </is>
      </c>
      <c r="C78" s="18" t="n">
        <v>142274.88</v>
      </c>
      <c r="D78" s="19">
        <f>C78/$C$114</f>
        <v/>
      </c>
      <c r="E78" s="20" t="inlineStr">
        <is>
          <t>6624471</t>
        </is>
      </c>
    </row>
    <row r="79">
      <c r="A79" s="28" t="n">
        <v>71192</v>
      </c>
      <c r="B79" s="2" t="inlineStr">
        <is>
          <t>MMC NORILSK NICKEL PJSC COMMON STOCK RUB 1</t>
        </is>
      </c>
      <c r="C79" s="18" t="n">
        <v>135352.85</v>
      </c>
      <c r="D79" s="19">
        <f>C79/$C$114</f>
        <v/>
      </c>
      <c r="E79" s="20" t="inlineStr">
        <is>
          <t>0H5804S</t>
        </is>
      </c>
    </row>
    <row r="80">
      <c r="A80" s="28" t="n">
        <v>5652</v>
      </c>
      <c r="B80" s="2" t="inlineStr">
        <is>
          <t>KOMERCNI BANKA AS COMMON STOCK CZK 100</t>
        </is>
      </c>
      <c r="C80" s="18" t="n">
        <v>135144.99</v>
      </c>
      <c r="D80" s="19">
        <f>C80/$C$114</f>
        <v/>
      </c>
      <c r="E80" s="20" t="inlineStr">
        <is>
          <t>4519449</t>
        </is>
      </c>
    </row>
    <row r="81">
      <c r="A81" s="28" t="n">
        <v>43702</v>
      </c>
      <c r="B81" s="2" t="inlineStr">
        <is>
          <t>WOOLWORTHS HOLDINGS LTD/SOUTH AFRICA COMMON STOCK ZAR 0</t>
        </is>
      </c>
      <c r="C81" s="18" t="n">
        <v>129719.15</v>
      </c>
      <c r="D81" s="19">
        <f>C81/$C$114</f>
        <v/>
      </c>
      <c r="E81" s="20" t="inlineStr">
        <is>
          <t>B06KZ97</t>
        </is>
      </c>
    </row>
    <row r="82">
      <c r="A82" s="28" t="n">
        <v>174489</v>
      </c>
      <c r="B82" s="2" t="inlineStr">
        <is>
          <t>FERTIGLOBE PLC COMMON STOCK USD</t>
        </is>
      </c>
      <c r="C82" s="18" t="n">
        <v>124054.97</v>
      </c>
      <c r="D82" s="19">
        <f>C82/$C$114</f>
        <v/>
      </c>
      <c r="E82" s="20" t="inlineStr">
        <is>
          <t>BMXCL70</t>
        </is>
      </c>
    </row>
    <row r="83">
      <c r="A83" s="28" t="n">
        <v>99566</v>
      </c>
      <c r="B83" s="2" t="inlineStr">
        <is>
          <t>SIBANYE STILLWATER LTD COMMON STOCK ZAR</t>
        </is>
      </c>
      <c r="C83" s="18" t="n">
        <v>120180.35</v>
      </c>
      <c r="D83" s="19">
        <f>C83/$C$114</f>
        <v/>
      </c>
      <c r="E83" s="20" t="inlineStr">
        <is>
          <t>BL0L913</t>
        </is>
      </c>
    </row>
    <row r="84">
      <c r="A84" s="28" t="n">
        <v>78324</v>
      </c>
      <c r="B84" s="2" t="inlineStr">
        <is>
          <t>OUTSURANCE GROUP LTD COMMON STOCK ZAR 0.0001</t>
        </is>
      </c>
      <c r="C84" s="18" t="n">
        <v>110846.04</v>
      </c>
      <c r="D84" s="19">
        <f>C84/$C$114</f>
        <v/>
      </c>
      <c r="E84" s="20" t="inlineStr">
        <is>
          <t>BN6QSM0</t>
        </is>
      </c>
    </row>
    <row r="85">
      <c r="A85" s="28" t="n">
        <v>4733</v>
      </c>
      <c r="B85" s="2" t="inlineStr">
        <is>
          <t>ANGLO AMERICAN PLC COMMON STOCK GBP 0.54945</t>
        </is>
      </c>
      <c r="C85" s="18" t="n">
        <v>105687.89</v>
      </c>
      <c r="D85" s="19">
        <f>C85/$C$114</f>
        <v/>
      </c>
      <c r="E85" s="20" t="inlineStr">
        <is>
          <t>B1XZS82</t>
        </is>
      </c>
    </row>
    <row r="86">
      <c r="A86" s="28" t="n">
        <v>2041744</v>
      </c>
      <c r="B86" s="2" t="inlineStr">
        <is>
          <t>ROSNEFT OIL CO PJSC COMMON STOCK RUB 0.01</t>
        </is>
      </c>
      <c r="C86" s="18" t="n">
        <v>59780.33</v>
      </c>
      <c r="D86" s="19">
        <f>C86/$C$114</f>
        <v/>
      </c>
      <c r="E86" s="20" t="inlineStr">
        <is>
          <t>0H5827S</t>
        </is>
      </c>
    </row>
    <row r="87">
      <c r="A87" s="28" t="n">
        <v>1677948</v>
      </c>
      <c r="B87" s="2" t="inlineStr">
        <is>
          <t>ROSNEFT OIL CO PJSC COMMON STOCK RUB</t>
        </is>
      </c>
      <c r="C87" s="18" t="n">
        <v>45419.36</v>
      </c>
      <c r="D87" s="19">
        <f>C87/$C$114</f>
        <v/>
      </c>
      <c r="E87" s="20" t="inlineStr">
        <is>
          <t>2H7674S</t>
        </is>
      </c>
    </row>
    <row r="88" customFormat="1" s="35">
      <c r="A88" s="30" t="n"/>
      <c r="B88" s="27" t="inlineStr">
        <is>
          <t>Subtotal</t>
        </is>
      </c>
      <c r="C88" s="29">
        <f>+C87+C86</f>
        <v/>
      </c>
      <c r="D88" s="31">
        <f>C88/$C$114</f>
        <v/>
      </c>
      <c r="E88" s="34" t="n"/>
      <c r="G88" s="3" t="n"/>
    </row>
    <row r="89">
      <c r="A89" s="28" t="n">
        <v>153691</v>
      </c>
      <c r="B89" s="2" t="inlineStr">
        <is>
          <t>ADNOC GAS PLC</t>
        </is>
      </c>
      <c r="C89" s="18" t="n">
        <v>101040.35</v>
      </c>
      <c r="D89" s="19">
        <f>C89/$C$114</f>
        <v/>
      </c>
      <c r="E89" s="20" t="inlineStr">
        <is>
          <t>BPJLW35</t>
        </is>
      </c>
    </row>
    <row r="90">
      <c r="A90" s="28" t="n">
        <v>133931</v>
      </c>
      <c r="B90" s="2" t="inlineStr">
        <is>
          <t>ADNOC LOGISTICS &amp; SERVICES COMMON STOCK AED</t>
        </is>
      </c>
      <c r="C90" s="18" t="n">
        <v>87476.00999999999</v>
      </c>
      <c r="D90" s="19">
        <f>C90/$C$114</f>
        <v/>
      </c>
      <c r="E90" s="20" t="inlineStr">
        <is>
          <t>6H9334S</t>
        </is>
      </c>
    </row>
    <row r="91">
      <c r="A91" s="28" t="n">
        <v>20379</v>
      </c>
      <c r="B91" s="2" t="inlineStr">
        <is>
          <t>MOTUS HOLDINGS LTD COMMON STOCK ZAR</t>
        </is>
      </c>
      <c r="C91" s="18" t="n">
        <v>85003.75</v>
      </c>
      <c r="D91" s="19">
        <f>C91/$C$114</f>
        <v/>
      </c>
      <c r="E91" s="20" t="inlineStr">
        <is>
          <t>BDRN3H0</t>
        </is>
      </c>
    </row>
    <row r="92">
      <c r="A92" s="28" t="n">
        <v>3657350</v>
      </c>
      <c r="B92" s="2" t="inlineStr">
        <is>
          <t>NOVOLIPETSK STEEL PJSC COMMON STOCK RUB</t>
        </is>
      </c>
      <c r="C92" s="18" t="n">
        <v>60267.01</v>
      </c>
      <c r="D92" s="19">
        <f>C92/$C$114</f>
        <v/>
      </c>
      <c r="E92" s="20" t="inlineStr">
        <is>
          <t>2H7675S</t>
        </is>
      </c>
    </row>
    <row r="93">
      <c r="A93" s="28" t="n">
        <v>180877</v>
      </c>
      <c r="B93" s="2" t="inlineStr">
        <is>
          <t>MAGNIT PJSC COMMON STOCK RUB 0.01</t>
        </is>
      </c>
      <c r="C93" s="18" t="n">
        <v>53302.95</v>
      </c>
      <c r="D93" s="19">
        <f>C93/$C$114</f>
        <v/>
      </c>
      <c r="E93" s="20" t="inlineStr">
        <is>
          <t>0H5813S</t>
        </is>
      </c>
    </row>
    <row r="94">
      <c r="A94" s="28" t="n">
        <v>3244</v>
      </c>
      <c r="B94" s="2" t="inlineStr">
        <is>
          <t>TEN SQUARE GAMES SA COMMON STOCK PLN 0.1</t>
        </is>
      </c>
      <c r="C94" s="18" t="n">
        <v>49425.26</v>
      </c>
      <c r="D94" s="19">
        <f>C94/$C$114</f>
        <v/>
      </c>
      <c r="E94" s="20" t="inlineStr">
        <is>
          <t>BFZCQ74</t>
        </is>
      </c>
    </row>
    <row r="95">
      <c r="A95" s="28" t="n">
        <v>1265335</v>
      </c>
      <c r="B95" s="2" t="inlineStr">
        <is>
          <t>GAZPROM NEFT PJSC COMMON STOCK RUB</t>
        </is>
      </c>
      <c r="C95" s="18" t="n">
        <v>48168.17</v>
      </c>
      <c r="D95" s="19">
        <f>C95/$C$114</f>
        <v/>
      </c>
      <c r="E95" s="20" t="inlineStr">
        <is>
          <t>0H5803S</t>
        </is>
      </c>
    </row>
    <row r="96">
      <c r="A96" s="28" t="n">
        <v>730066</v>
      </c>
      <c r="B96" s="2" t="inlineStr">
        <is>
          <t>TATNEFT PJSC COMMON STOCK RUB</t>
        </is>
      </c>
      <c r="C96" s="18" t="n">
        <v>26050.15</v>
      </c>
      <c r="D96" s="19">
        <f>C96/$C$114</f>
        <v/>
      </c>
      <c r="E96" s="20" t="inlineStr">
        <is>
          <t>0H5822S</t>
        </is>
      </c>
    </row>
    <row r="97">
      <c r="A97" s="28" t="n">
        <v>571359</v>
      </c>
      <c r="B97" s="2" t="inlineStr">
        <is>
          <t>TATNEFT PJSC PREFERENCE RUB 1</t>
        </is>
      </c>
      <c r="C97" s="18" t="n">
        <v>18054.29</v>
      </c>
      <c r="D97" s="19">
        <f>C97/$C$114</f>
        <v/>
      </c>
      <c r="E97" s="20" t="inlineStr">
        <is>
          <t>0H5816S</t>
        </is>
      </c>
    </row>
    <row r="98" customFormat="1" s="35">
      <c r="A98" s="30" t="n"/>
      <c r="B98" s="27" t="inlineStr">
        <is>
          <t>Subtotal</t>
        </is>
      </c>
      <c r="C98" s="29">
        <f>+C97+C96</f>
        <v/>
      </c>
      <c r="D98" s="31">
        <f>C98/$C$114</f>
        <v/>
      </c>
      <c r="E98" s="34" t="n"/>
      <c r="G98" s="3" t="n"/>
    </row>
    <row r="99">
      <c r="A99" s="28" t="n">
        <v>6156103</v>
      </c>
      <c r="B99" s="2" t="inlineStr">
        <is>
          <t>ROSTELECOM PJSC COMMON STOCK RUB</t>
        </is>
      </c>
      <c r="C99" s="18" t="n">
        <v>41549.95</v>
      </c>
      <c r="D99" s="19">
        <f>C99/$C$114</f>
        <v/>
      </c>
      <c r="E99" s="20" t="inlineStr">
        <is>
          <t>0H5802S</t>
        </is>
      </c>
    </row>
    <row r="100">
      <c r="A100" s="28" t="n">
        <v>21233273216</v>
      </c>
      <c r="B100" s="2" t="inlineStr">
        <is>
          <t>VTB BANK PJSC COMMON STOCK RUB 0.01</t>
        </is>
      </c>
      <c r="C100" s="18" t="n">
        <v>39749.23</v>
      </c>
      <c r="D100" s="19">
        <f>C100/$C$114</f>
        <v/>
      </c>
      <c r="E100" s="20" t="inlineStr">
        <is>
          <t>0H5837S</t>
        </is>
      </c>
    </row>
    <row r="101">
      <c r="A101" s="28" t="n">
        <v>4003270</v>
      </c>
      <c r="B101" s="2" t="inlineStr">
        <is>
          <t>DETSKY MIR PJSC COMMON STOCK RUB 0.0004</t>
        </is>
      </c>
      <c r="C101" s="18" t="n">
        <v>32615.31</v>
      </c>
      <c r="D101" s="19">
        <f>C101/$C$114</f>
        <v/>
      </c>
      <c r="E101" s="20" t="inlineStr">
        <is>
          <t>0H5850S</t>
        </is>
      </c>
    </row>
    <row r="102">
      <c r="A102" s="28" t="n">
        <v>29773</v>
      </c>
      <c r="B102" s="2" t="inlineStr">
        <is>
          <t>POLYUS PJSC COMMON STOCK RUB</t>
        </is>
      </c>
      <c r="C102" s="18" t="n">
        <v>29106.86</v>
      </c>
      <c r="D102" s="19">
        <f>C102/$C$114</f>
        <v/>
      </c>
      <c r="E102" s="20" t="inlineStr">
        <is>
          <t>2H7182S</t>
        </is>
      </c>
    </row>
    <row r="103">
      <c r="A103" s="28" t="n">
        <v>169819</v>
      </c>
      <c r="B103" s="2" t="inlineStr">
        <is>
          <t>YANDEX NV COMMON STOCK USD 0.01</t>
        </is>
      </c>
      <c r="C103" s="18" t="n">
        <v>25298.87</v>
      </c>
      <c r="D103" s="19">
        <f>C103/$C$114</f>
        <v/>
      </c>
      <c r="E103" s="20" t="inlineStr">
        <is>
          <t>0H6379S</t>
        </is>
      </c>
    </row>
    <row r="104">
      <c r="A104" s="28" t="n">
        <v>432517</v>
      </c>
      <c r="B104" s="2" t="inlineStr">
        <is>
          <t>MD MEDICAL GROUP INVESTMENTS PLC GDR USD</t>
        </is>
      </c>
      <c r="C104" s="18" t="n">
        <v>19391.57</v>
      </c>
      <c r="D104" s="19">
        <f>C104/$C$114</f>
        <v/>
      </c>
      <c r="E104" s="20" t="inlineStr">
        <is>
          <t>0H6371S</t>
        </is>
      </c>
    </row>
    <row r="105">
      <c r="A105" s="28" t="n">
        <v>12313057</v>
      </c>
      <c r="B105" s="2" t="inlineStr">
        <is>
          <t>SISTEMA PJSFC COMMON STOCK RUB 0.09</t>
        </is>
      </c>
      <c r="C105" s="18" t="n">
        <v>14575.09</v>
      </c>
      <c r="D105" s="19">
        <f>C105/$C$114</f>
        <v/>
      </c>
      <c r="E105" s="20" t="inlineStr">
        <is>
          <t>0H5808S</t>
        </is>
      </c>
    </row>
    <row r="106">
      <c r="A106" s="28" t="n">
        <v>577525</v>
      </c>
      <c r="B106" s="2" t="inlineStr">
        <is>
          <t>FIX PRICE GROUP LTD GDR</t>
        </is>
      </c>
      <c r="C106" s="18" t="n">
        <v>4270.06</v>
      </c>
      <c r="D106" s="19">
        <f>C106/$C$114</f>
        <v/>
      </c>
      <c r="E106" s="20" t="inlineStr">
        <is>
          <t>0H6372S</t>
        </is>
      </c>
    </row>
    <row r="107">
      <c r="A107" s="28" t="n">
        <v>75226</v>
      </c>
      <c r="B107" s="2" t="inlineStr">
        <is>
          <t>TCS GROUP HOLDING PLC GDR</t>
        </is>
      </c>
      <c r="C107" s="18" t="n">
        <v>1889.31</v>
      </c>
      <c r="D107" s="19">
        <f>C107/$C$114</f>
        <v/>
      </c>
      <c r="E107" s="20" t="inlineStr">
        <is>
          <t>0H6380S</t>
        </is>
      </c>
    </row>
    <row r="108">
      <c r="A108" s="28" t="n">
        <v>275182</v>
      </c>
      <c r="B108" s="2" t="inlineStr">
        <is>
          <t>X 5 RETAIL GROUP NV-REGS GDR</t>
        </is>
      </c>
      <c r="C108" s="18" t="n">
        <v>1150.21</v>
      </c>
      <c r="D108" s="19">
        <f>C108/$C$114</f>
        <v/>
      </c>
      <c r="E108" s="20" t="inlineStr">
        <is>
          <t>0H6365S</t>
        </is>
      </c>
    </row>
    <row r="109">
      <c r="A109" s="28" t="n">
        <v>552780</v>
      </c>
      <c r="B109" s="2" t="inlineStr">
        <is>
          <t>SEVERSTAL PAO GDR USD</t>
        </is>
      </c>
      <c r="C109" s="18" t="n">
        <v>261.31</v>
      </c>
      <c r="D109" s="19">
        <f>C109/$C$114</f>
        <v/>
      </c>
      <c r="E109" s="20" t="inlineStr">
        <is>
          <t>0H6368S</t>
        </is>
      </c>
    </row>
    <row r="110">
      <c r="A110" s="28" t="n"/>
      <c r="C110" s="18" t="n"/>
      <c r="D110" s="19" t="n"/>
      <c r="E110" s="20" t="n"/>
    </row>
    <row r="111">
      <c r="A111" s="21" t="n"/>
      <c r="B111" s="21" t="inlineStr">
        <is>
          <t>Total portfolio</t>
        </is>
      </c>
      <c r="C111" s="39" t="n">
        <v>18349159.95</v>
      </c>
      <c r="D111" s="19">
        <f>C111/$C$114</f>
        <v/>
      </c>
    </row>
    <row r="112">
      <c r="B112" s="21" t="inlineStr">
        <is>
          <t>Net Current Assets</t>
        </is>
      </c>
      <c r="C112" s="39" t="n">
        <v>263864.0900000001</v>
      </c>
      <c r="D112" s="19">
        <f>C112/$C$114</f>
        <v/>
      </c>
    </row>
    <row r="113">
      <c r="B113" s="3" t="n"/>
      <c r="C113" s="39" t="n"/>
      <c r="D113" s="32" t="n"/>
    </row>
    <row r="114">
      <c r="B114" s="21"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30.xml><?xml version="1.0" encoding="utf-8"?>
<worksheet xmlns="http://schemas.openxmlformats.org/spreadsheetml/2006/main">
  <sheetPr>
    <outlinePr summaryBelow="1" summaryRight="1"/>
    <pageSetUpPr/>
  </sheetPr>
  <dimension ref="A1:H120"/>
  <sheetViews>
    <sheetView workbookViewId="0">
      <selection activeCell="A9" sqref="A9"/>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C12/$C$116</f>
        <v/>
      </c>
      <c r="E12" s="38" t="inlineStr">
        <is>
          <t>5819115</t>
        </is>
      </c>
      <c r="H12" s="40" t="n"/>
    </row>
    <row r="13">
      <c r="A13" s="28" t="n">
        <v>53763</v>
      </c>
      <c r="B13" s="2" t="inlineStr">
        <is>
          <t>AL RAJHI BANK COMMON STOCK SAR 10</t>
        </is>
      </c>
      <c r="C13" s="18" t="n">
        <v>817650.13</v>
      </c>
      <c r="D13" s="19">
        <f>C13/$C$116</f>
        <v/>
      </c>
      <c r="E13" s="38" t="inlineStr">
        <is>
          <t>B12LZH9</t>
        </is>
      </c>
      <c r="H13" s="40" t="n"/>
    </row>
    <row r="14">
      <c r="A14" s="28" t="n">
        <v>90825</v>
      </c>
      <c r="B14" s="2" t="inlineStr">
        <is>
          <t>THE SAUDI NATIONAL BANK</t>
        </is>
      </c>
      <c r="C14" s="18" t="n">
        <v>716051.05</v>
      </c>
      <c r="D14" s="19">
        <f>C14/$C$116</f>
        <v/>
      </c>
      <c r="E14" s="20" t="inlineStr">
        <is>
          <t>BSHYYN1</t>
        </is>
      </c>
      <c r="H14" s="40" t="n"/>
    </row>
    <row r="15">
      <c r="A15" s="41" t="n">
        <v>30265</v>
      </c>
      <c r="B15" s="2" t="inlineStr">
        <is>
          <t>SAUDI BASIC INDUSTRIES CORP COMMON STOCK SAR 10</t>
        </is>
      </c>
      <c r="C15" s="33" t="n">
        <v>574214.12</v>
      </c>
      <c r="D15" s="19">
        <f>C15/$C$116</f>
        <v/>
      </c>
      <c r="E15" s="20" t="inlineStr">
        <is>
          <t>B1324D0</t>
        </is>
      </c>
      <c r="H15" s="40" t="n"/>
    </row>
    <row r="16">
      <c r="A16" s="28" t="n">
        <v>84432</v>
      </c>
      <c r="B16" s="2" t="inlineStr">
        <is>
          <t>SAUDI ARABIAN OIL CO COMMON STOCK SAR</t>
        </is>
      </c>
      <c r="C16" s="18" t="n">
        <v>572113.55</v>
      </c>
      <c r="D16" s="19">
        <f>C16/$C$116</f>
        <v/>
      </c>
      <c r="E16" s="38" t="inlineStr">
        <is>
          <t>BJTM270</t>
        </is>
      </c>
      <c r="H16" s="40" t="n"/>
    </row>
    <row r="17">
      <c r="A17" s="28" t="n">
        <v>145911</v>
      </c>
      <c r="B17" s="2" t="inlineStr">
        <is>
          <t>QATAR NATIONAL BANK QPSC COMMON STOCK QAR 1</t>
        </is>
      </c>
      <c r="C17" s="18" t="n">
        <v>517805.3</v>
      </c>
      <c r="D17" s="19">
        <f>C17/$C$116</f>
        <v/>
      </c>
      <c r="E17" s="38" t="inlineStr">
        <is>
          <t>6148197</t>
        </is>
      </c>
      <c r="H17" s="40" t="n"/>
    </row>
    <row r="18">
      <c r="A18" s="41" t="n">
        <v>4185</v>
      </c>
      <c r="B18" s="2" t="inlineStr">
        <is>
          <t>NASPERS LTD COMMON STOCK ZAR 2</t>
        </is>
      </c>
      <c r="C18" s="33" t="n">
        <v>507214.58</v>
      </c>
      <c r="D18" s="19">
        <f>C18/$C$116</f>
        <v/>
      </c>
      <c r="E18" s="20" t="inlineStr">
        <is>
          <t>6622691</t>
        </is>
      </c>
      <c r="H18" s="40" t="n"/>
    </row>
    <row r="19">
      <c r="A19" s="28" t="n">
        <v>165940</v>
      </c>
      <c r="B19" s="2" t="inlineStr">
        <is>
          <t>FIRSTRAND LTD COMMON STOCK ZAR 1</t>
        </is>
      </c>
      <c r="C19" s="18" t="n">
        <v>407143.26</v>
      </c>
      <c r="D19" s="19">
        <f>C19/$C$116</f>
        <v/>
      </c>
      <c r="E19" s="20" t="inlineStr">
        <is>
          <t>6606996</t>
        </is>
      </c>
      <c r="H19" s="40" t="n"/>
    </row>
    <row r="20">
      <c r="A20" s="28" t="n">
        <v>149253</v>
      </c>
      <c r="B20" s="2" t="inlineStr">
        <is>
          <t>INDUSTRIES QATAR QSC COMMON STOCK QAR 1</t>
        </is>
      </c>
      <c r="C20" s="18" t="n">
        <v>396339.18</v>
      </c>
      <c r="D20" s="19">
        <f>C20/$C$116</f>
        <v/>
      </c>
      <c r="E20" s="20" t="inlineStr">
        <is>
          <t>6673570</t>
        </is>
      </c>
      <c r="H20" s="40" t="n"/>
    </row>
    <row r="21">
      <c r="A21" s="28" t="n">
        <v>31177</v>
      </c>
      <c r="B21" s="2" t="inlineStr">
        <is>
          <t>GOLD FIELDS LTD COMMON STOCK ZAR 50</t>
        </is>
      </c>
      <c r="C21" s="18" t="n">
        <v>382726.62</v>
      </c>
      <c r="D21" s="19">
        <f>C21/$C$116</f>
        <v/>
      </c>
      <c r="E21" s="20" t="inlineStr">
        <is>
          <t>6280215</t>
        </is>
      </c>
      <c r="H21" s="40" t="n"/>
    </row>
    <row r="22">
      <c r="A22" s="28" t="n">
        <v>40325</v>
      </c>
      <c r="B22" s="2" t="inlineStr">
        <is>
          <t>SAUDI TELECOM CO COMMON STOCK</t>
        </is>
      </c>
      <c r="C22" s="18" t="n">
        <v>374733.68</v>
      </c>
      <c r="D22" s="19">
        <f>C22/$C$116</f>
        <v/>
      </c>
      <c r="E22" s="20" t="inlineStr">
        <is>
          <t>B12M7Q5</t>
        </is>
      </c>
      <c r="H22" s="40" t="n"/>
    </row>
    <row r="23">
      <c r="A23" s="28" t="n">
        <v>244040</v>
      </c>
      <c r="B23" s="2" t="inlineStr">
        <is>
          <t>EMAAR PROPERTIES PJSC COMMON STOCK AED 1</t>
        </is>
      </c>
      <c r="C23" s="18" t="n">
        <v>328080.2</v>
      </c>
      <c r="D23" s="19">
        <f>C23/$C$116</f>
        <v/>
      </c>
      <c r="E23" s="20" t="inlineStr">
        <is>
          <t>B01RM25</t>
        </is>
      </c>
      <c r="H23" s="40" t="n"/>
    </row>
    <row r="24">
      <c r="A24" s="28" t="n">
        <v>362649</v>
      </c>
      <c r="B24" s="2" t="inlineStr">
        <is>
          <t>LUKOIL PJSC COMMON STOCK RUB 0.025 RUB</t>
        </is>
      </c>
      <c r="C24" s="18" t="n">
        <v>185646.84</v>
      </c>
      <c r="D24" s="19">
        <f>C24/$C$116</f>
        <v/>
      </c>
      <c r="E24" s="20" t="inlineStr">
        <is>
          <t>2H6442S</t>
        </is>
      </c>
      <c r="H24" s="40" t="n"/>
    </row>
    <row r="25">
      <c r="A25" s="28" t="n">
        <v>262047</v>
      </c>
      <c r="B25" s="2" t="inlineStr">
        <is>
          <t>LUKOIL PJSC COMMON STOCK RUB</t>
        </is>
      </c>
      <c r="C25" s="18" t="n">
        <v>131846.34</v>
      </c>
      <c r="D25" s="19">
        <f>C25/$C$116</f>
        <v/>
      </c>
      <c r="E25" s="20" t="inlineStr">
        <is>
          <t>0H5797S</t>
        </is>
      </c>
      <c r="H25" s="40" t="n"/>
    </row>
    <row r="26" customFormat="1" s="35">
      <c r="A26" s="30" t="n"/>
      <c r="B26" s="27" t="inlineStr">
        <is>
          <t>Subtotal</t>
        </is>
      </c>
      <c r="C26" s="29">
        <f>+C25+C24</f>
        <v/>
      </c>
      <c r="D26" s="31">
        <f>C26/$C$116</f>
        <v/>
      </c>
      <c r="E26" s="34" t="n"/>
      <c r="G26" s="3" t="n"/>
    </row>
    <row r="27">
      <c r="A27" s="41" t="n">
        <v>18315</v>
      </c>
      <c r="B27" s="2" t="inlineStr">
        <is>
          <t>BID CORP LTD COMMON STOCK ZAR</t>
        </is>
      </c>
      <c r="C27" s="33" t="n">
        <v>312895.33</v>
      </c>
      <c r="D27" s="19">
        <f>C27/$C$116</f>
        <v/>
      </c>
      <c r="E27" s="38" t="inlineStr">
        <is>
          <t>BZBFKT7</t>
        </is>
      </c>
      <c r="H27" s="40" t="n"/>
    </row>
    <row r="28">
      <c r="A28" s="28" t="n">
        <v>43770</v>
      </c>
      <c r="B28" s="2" t="inlineStr">
        <is>
          <t>ALINMA BANK COMMON STOCK SAR 10</t>
        </is>
      </c>
      <c r="C28" s="18" t="n">
        <v>306943.72</v>
      </c>
      <c r="D28" s="19">
        <f>C28/$C$116</f>
        <v/>
      </c>
      <c r="E28" s="20" t="inlineStr">
        <is>
          <t>B39NWT3</t>
        </is>
      </c>
      <c r="H28" s="40" t="n"/>
    </row>
    <row r="29">
      <c r="A29" s="28" t="n">
        <v>22069</v>
      </c>
      <c r="B29" s="2" t="inlineStr">
        <is>
          <t>OPAP SA COMMON STOCK EUR 0.3</t>
        </is>
      </c>
      <c r="C29" s="18" t="n">
        <v>303351.31</v>
      </c>
      <c r="D29" s="19">
        <f>C29/$C$116</f>
        <v/>
      </c>
      <c r="E29" s="20" t="inlineStr">
        <is>
          <t>7107250</t>
        </is>
      </c>
      <c r="H29" s="40" t="n"/>
    </row>
    <row r="30">
      <c r="A30" s="28" t="n">
        <v>16143</v>
      </c>
      <c r="B30" s="2" t="inlineStr">
        <is>
          <t>JUMBO SA COMMON STOCK EUR 0.88</t>
        </is>
      </c>
      <c r="C30" s="18" t="n">
        <v>301044</v>
      </c>
      <c r="D30" s="19">
        <f>C30/$C$116</f>
        <v/>
      </c>
      <c r="E30" s="20" t="inlineStr">
        <is>
          <t>7243530</t>
        </is>
      </c>
      <c r="H30" s="40" t="n"/>
    </row>
    <row r="31">
      <c r="A31" s="28" t="n">
        <v>14056</v>
      </c>
      <c r="B31" s="2" t="inlineStr">
        <is>
          <t>MOTOR OIL HELLAS CORINTH REFINERIES SA COMMON STOCK EUR 0.75</t>
        </is>
      </c>
      <c r="C31" s="18" t="n">
        <v>291141.88</v>
      </c>
      <c r="D31" s="19">
        <f>C31/$C$116</f>
        <v/>
      </c>
      <c r="E31" s="20" t="inlineStr">
        <is>
          <t>5996234</t>
        </is>
      </c>
      <c r="H31" s="40" t="n"/>
    </row>
    <row r="32">
      <c r="A32" s="41" t="n">
        <v>45012</v>
      </c>
      <c r="B32" s="2" t="inlineStr">
        <is>
          <t>STANDARD BANK GROUP LTD COMMON STOCK ZAR 10</t>
        </is>
      </c>
      <c r="C32" s="18" t="n">
        <v>277656.59</v>
      </c>
      <c r="D32" s="19">
        <f>C32/$C$116</f>
        <v/>
      </c>
      <c r="E32" s="20" t="inlineStr">
        <is>
          <t>B030GJ7</t>
        </is>
      </c>
      <c r="H32" s="40" t="n"/>
    </row>
    <row r="33">
      <c r="A33" s="28" t="n">
        <v>38596</v>
      </c>
      <c r="B33" s="2" t="inlineStr">
        <is>
          <t>RIYAD BANK COMMON STOCK SAR 10</t>
        </is>
      </c>
      <c r="C33" s="18" t="n">
        <v>271490.51</v>
      </c>
      <c r="D33" s="19">
        <f>C33/$C$116</f>
        <v/>
      </c>
      <c r="E33" s="38" t="inlineStr">
        <is>
          <t>B12LZW4</t>
        </is>
      </c>
      <c r="H33" s="40" t="n"/>
    </row>
    <row r="34">
      <c r="A34" s="28" t="n">
        <v>13785</v>
      </c>
      <c r="B34" s="2" t="inlineStr">
        <is>
          <t>ANGLOGOLD ASHANTI LTD COMMON STOCK ZAR 25</t>
        </is>
      </c>
      <c r="C34" s="18" t="n">
        <v>271038.52</v>
      </c>
      <c r="D34" s="19">
        <f>C34/$C$116</f>
        <v/>
      </c>
      <c r="E34" s="38" t="inlineStr">
        <is>
          <t>6565655</t>
        </is>
      </c>
      <c r="H34" s="40" t="n"/>
    </row>
    <row r="35">
      <c r="A35" s="28" t="n">
        <v>226609</v>
      </c>
      <c r="B35" s="2" t="inlineStr">
        <is>
          <t>ALDAR PROPERTIES PJSC COMMON STOCK AED 1</t>
        </is>
      </c>
      <c r="C35" s="18" t="n">
        <v>253872.06</v>
      </c>
      <c r="D35" s="19">
        <f>C35/$C$116</f>
        <v/>
      </c>
      <c r="E35" s="38" t="inlineStr">
        <is>
          <t>B0LX3Y2</t>
        </is>
      </c>
      <c r="H35" s="40" t="n"/>
    </row>
    <row r="36">
      <c r="A36" s="28" t="n">
        <v>309743</v>
      </c>
      <c r="B36" s="2" t="inlineStr">
        <is>
          <t>ADNOC DRILLING CO PJSC COMMON STOCK AED</t>
        </is>
      </c>
      <c r="C36" s="18" t="n">
        <v>246987.92</v>
      </c>
      <c r="D36" s="19">
        <f>C36/$C$116</f>
        <v/>
      </c>
      <c r="E36" s="38" t="inlineStr">
        <is>
          <t>BN12D39</t>
        </is>
      </c>
      <c r="H36" s="40" t="n"/>
    </row>
    <row r="37">
      <c r="A37" s="28" t="n">
        <v>30074</v>
      </c>
      <c r="B37" s="2" t="inlineStr">
        <is>
          <t>SHOPRITE HOLDINGS LTD COMMON STOCK ZAR 113.4</t>
        </is>
      </c>
      <c r="C37" s="18" t="n">
        <v>238997.6</v>
      </c>
      <c r="D37" s="19">
        <f>C37/$C$116</f>
        <v/>
      </c>
      <c r="E37" s="38" t="inlineStr">
        <is>
          <t>6801575</t>
        </is>
      </c>
      <c r="H37" s="40" t="n"/>
    </row>
    <row r="38">
      <c r="A38" s="28" t="n">
        <v>2436</v>
      </c>
      <c r="B38" s="2" t="inlineStr">
        <is>
          <t>ELM CO COMMON STOCK SAR 10</t>
        </is>
      </c>
      <c r="C38" s="18" t="n">
        <v>233709.7</v>
      </c>
      <c r="D38" s="19">
        <f>C38/$C$116</f>
        <v/>
      </c>
      <c r="E38" s="38" t="inlineStr">
        <is>
          <t>BNYDSH8</t>
        </is>
      </c>
      <c r="H38" s="40" t="n"/>
    </row>
    <row r="39">
      <c r="A39" s="28" t="n">
        <v>8860909</v>
      </c>
      <c r="B39" s="2" t="inlineStr">
        <is>
          <t>GAZPROM PJSC COMMON STOCK RUB</t>
        </is>
      </c>
      <c r="C39" s="18" t="n">
        <v>205892.81</v>
      </c>
      <c r="D39" s="19">
        <f>C39/$C$116</f>
        <v/>
      </c>
      <c r="E39" s="38" t="inlineStr">
        <is>
          <t>0H5796S</t>
        </is>
      </c>
      <c r="H39" s="40" t="n"/>
    </row>
    <row r="40">
      <c r="A40" s="28" t="n">
        <v>5365084</v>
      </c>
      <c r="B40" s="2" t="inlineStr">
        <is>
          <t>GAZPROM PJSC ADR</t>
        </is>
      </c>
      <c r="C40" s="18" t="n">
        <v>25167.5</v>
      </c>
      <c r="D40" s="19">
        <f>C40/$C$116</f>
        <v/>
      </c>
      <c r="E40" s="20" t="inlineStr">
        <is>
          <t>0H6364S</t>
        </is>
      </c>
      <c r="H40" s="40" t="n"/>
    </row>
    <row r="41" customFormat="1" s="35">
      <c r="A41" s="30" t="n"/>
      <c r="B41" s="27" t="inlineStr">
        <is>
          <t>Subtotal</t>
        </is>
      </c>
      <c r="C41" s="29">
        <f>+C40+C39</f>
        <v/>
      </c>
      <c r="D41" s="31">
        <f>C41/$C$116</f>
        <v/>
      </c>
      <c r="E41" s="34" t="n"/>
      <c r="G41" s="3" t="n"/>
    </row>
    <row r="42">
      <c r="A42" s="28" t="n">
        <v>8567</v>
      </c>
      <c r="B42" s="2" t="inlineStr">
        <is>
          <t>SABIC AGRI-NUTRIENTS CO COMMON STOCK SAR 10</t>
        </is>
      </c>
      <c r="C42" s="18" t="n">
        <v>229989.47</v>
      </c>
      <c r="D42" s="19">
        <f>C42/$C$116</f>
        <v/>
      </c>
      <c r="E42" s="20" t="inlineStr">
        <is>
          <t>B1323K0</t>
        </is>
      </c>
      <c r="H42" s="40" t="n"/>
    </row>
    <row r="43">
      <c r="A43" s="28" t="n">
        <v>35367</v>
      </c>
      <c r="B43" s="2" t="inlineStr">
        <is>
          <t>ABSA GROUP LTD</t>
        </is>
      </c>
      <c r="C43" s="18" t="n">
        <v>221516.61</v>
      </c>
      <c r="D43" s="19">
        <f>C43/$C$116</f>
        <v/>
      </c>
      <c r="E43" s="20" t="inlineStr">
        <is>
          <t>BFX05H3</t>
        </is>
      </c>
      <c r="H43" s="40" t="n"/>
    </row>
    <row r="44">
      <c r="A44" s="28" t="n">
        <v>123763</v>
      </c>
      <c r="B44" s="2" t="inlineStr">
        <is>
          <t>ABU DHABI COMMERCIAL BANK PJSC COMMON STOCK AED 1</t>
        </is>
      </c>
      <c r="C44" s="18" t="n">
        <v>217222.69</v>
      </c>
      <c r="D44" s="19">
        <f>C44/$C$116</f>
        <v/>
      </c>
      <c r="E44" s="20" t="inlineStr">
        <is>
          <t>6545464</t>
        </is>
      </c>
      <c r="H44" s="40" t="n"/>
    </row>
    <row r="45">
      <c r="A45" s="28" t="n">
        <v>33471</v>
      </c>
      <c r="B45" s="2" t="inlineStr">
        <is>
          <t>IMPALA PLATINUM HOLDINGS LTD COMMON STOCK ZAR 0</t>
        </is>
      </c>
      <c r="C45" s="18" t="n">
        <v>215828.42</v>
      </c>
      <c r="D45" s="19">
        <f>C45/$C$116</f>
        <v/>
      </c>
      <c r="E45" s="20" t="inlineStr">
        <is>
          <t>B1FFT76</t>
        </is>
      </c>
      <c r="H45" s="40" t="n"/>
    </row>
    <row r="46">
      <c r="A46" s="41" t="n">
        <v>14455036</v>
      </c>
      <c r="B46" s="2" t="inlineStr">
        <is>
          <t>SBERBANK OF RUSSIA PJSC PREFERENCE RUB 3</t>
        </is>
      </c>
      <c r="C46" s="33" t="n">
        <v>185284.77</v>
      </c>
      <c r="D46" s="19">
        <f>C46/$C$116</f>
        <v/>
      </c>
      <c r="E46" s="20" t="inlineStr">
        <is>
          <t>0H5856S</t>
        </is>
      </c>
      <c r="H46" s="40" t="n"/>
    </row>
    <row r="47">
      <c r="A47" s="28" t="n">
        <v>2355925</v>
      </c>
      <c r="B47" s="2" t="inlineStr">
        <is>
          <t>SBERBANK OF RUSSIA PJSC</t>
        </is>
      </c>
      <c r="C47" s="18" t="n">
        <v>29980.01</v>
      </c>
      <c r="D47" s="19">
        <f>C47/$C$116</f>
        <v/>
      </c>
      <c r="E47" s="20" t="inlineStr">
        <is>
          <t>0H5855S</t>
        </is>
      </c>
      <c r="H47" s="40" t="n"/>
    </row>
    <row r="48" customFormat="1" s="35">
      <c r="A48" s="30" t="n"/>
      <c r="B48" s="27" t="inlineStr">
        <is>
          <t>Subtotal</t>
        </is>
      </c>
      <c r="C48" s="29">
        <f>+C47+C46</f>
        <v/>
      </c>
      <c r="D48" s="31">
        <f>C48/$C$116</f>
        <v/>
      </c>
      <c r="E48" s="34" t="n"/>
      <c r="G48" s="3" t="n"/>
    </row>
    <row r="49">
      <c r="A49" s="28" t="n">
        <v>6612</v>
      </c>
      <c r="B49" s="2" t="inlineStr">
        <is>
          <t>ARABIAN CONTRACTING SERVICES CO COMMON STOCK SAR</t>
        </is>
      </c>
      <c r="C49" s="18" t="n">
        <v>203391.82</v>
      </c>
      <c r="D49" s="19">
        <f>C49/$C$116</f>
        <v/>
      </c>
      <c r="E49" s="20" t="inlineStr">
        <is>
          <t>BP4DC81</t>
        </is>
      </c>
    </row>
    <row r="50">
      <c r="A50" s="28" t="n">
        <v>7955</v>
      </c>
      <c r="B50" s="2" t="inlineStr">
        <is>
          <t>LEEJAM SPORTS CO JSC COMMON STOCK SAR 10</t>
        </is>
      </c>
      <c r="C50" s="18" t="n">
        <v>201238.98</v>
      </c>
      <c r="D50" s="19">
        <f>C50/$C$116</f>
        <v/>
      </c>
      <c r="E50" s="20" t="inlineStr">
        <is>
          <t>BF12ZV5</t>
        </is>
      </c>
    </row>
    <row r="51">
      <c r="A51" s="28" t="n">
        <v>95185</v>
      </c>
      <c r="B51" s="2" t="inlineStr">
        <is>
          <t>SANLAM LTD COMMON STOCK ZAR 1</t>
        </is>
      </c>
      <c r="C51" s="18" t="n">
        <v>201103.31</v>
      </c>
      <c r="D51" s="19">
        <f>C51/$C$116</f>
        <v/>
      </c>
      <c r="E51" s="20" t="inlineStr">
        <is>
          <t>B0L6750</t>
        </is>
      </c>
    </row>
    <row r="52">
      <c r="A52" s="28" t="n">
        <v>5994</v>
      </c>
      <c r="B52" s="2" t="inlineStr">
        <is>
          <t>ARABIAN DRILLING CO COMMON STOCK SAR 10</t>
        </is>
      </c>
      <c r="C52" s="18" t="n">
        <v>191344.17</v>
      </c>
      <c r="D52" s="19">
        <f>C52/$C$116</f>
        <v/>
      </c>
      <c r="E52" s="20" t="inlineStr">
        <is>
          <t>BPNZYP9</t>
        </is>
      </c>
    </row>
    <row r="53">
      <c r="A53" s="28" t="n">
        <v>14849</v>
      </c>
      <c r="B53" s="2" t="inlineStr">
        <is>
          <t>RIYADH CABLES GROUP CO COMMON STOCK SAR 10</t>
        </is>
      </c>
      <c r="C53" s="18" t="n">
        <v>191013.03</v>
      </c>
      <c r="D53" s="19">
        <f>C53/$C$116</f>
        <v/>
      </c>
      <c r="E53" s="20" t="inlineStr">
        <is>
          <t>BNBPXW7</t>
        </is>
      </c>
    </row>
    <row r="54">
      <c r="A54" s="28" t="n">
        <v>721867</v>
      </c>
      <c r="B54" s="2" t="inlineStr">
        <is>
          <t>AL ANSARI FINANCIAL SERVICES PJSC COMMON STOCK AED</t>
        </is>
      </c>
      <c r="C54" s="18" t="n">
        <v>188699.93</v>
      </c>
      <c r="D54" s="19">
        <f>C54/$C$116</f>
        <v/>
      </c>
      <c r="E54" s="20" t="inlineStr">
        <is>
          <t>BMWB101</t>
        </is>
      </c>
    </row>
    <row r="55">
      <c r="A55" s="28" t="n">
        <v>49840</v>
      </c>
      <c r="B55" s="2" t="inlineStr">
        <is>
          <t>JARIR MARKETING CO COMMON STOCK SAR 1</t>
        </is>
      </c>
      <c r="C55" s="18" t="n">
        <v>187620.67</v>
      </c>
      <c r="D55" s="19">
        <f>C55/$C$116</f>
        <v/>
      </c>
      <c r="E55" s="20" t="inlineStr">
        <is>
          <t>B128FM5</t>
        </is>
      </c>
    </row>
    <row r="56">
      <c r="A56" s="28" t="n">
        <v>13199</v>
      </c>
      <c r="B56" s="2" t="inlineStr">
        <is>
          <t>UNITED INTERNATIONAL TRANSPORTATION CO COMMON STOCK SAR 10</t>
        </is>
      </c>
      <c r="C56" s="18" t="n">
        <v>187391.36</v>
      </c>
      <c r="D56" s="19">
        <f>C56/$C$116</f>
        <v/>
      </c>
      <c r="E56" s="20" t="inlineStr">
        <is>
          <t>B2493D0</t>
        </is>
      </c>
    </row>
    <row r="57">
      <c r="A57" s="28" t="n">
        <v>40456</v>
      </c>
      <c r="B57" s="2" t="inlineStr">
        <is>
          <t>VODACOM GROUP LTD COMMON STOCK ZAR</t>
        </is>
      </c>
      <c r="C57" s="18" t="n">
        <v>181770.04</v>
      </c>
      <c r="D57" s="19">
        <f>C57/$C$116</f>
        <v/>
      </c>
      <c r="E57" s="20" t="inlineStr">
        <is>
          <t>B65B4D0</t>
        </is>
      </c>
    </row>
    <row r="58">
      <c r="A58" s="28" t="n">
        <v>48489</v>
      </c>
      <c r="B58" s="2" t="inlineStr">
        <is>
          <t>STS HOLDING SA COMMON STOCK PLN</t>
        </is>
      </c>
      <c r="C58" s="18" t="n">
        <v>180655.97</v>
      </c>
      <c r="D58" s="19">
        <f>C58/$C$116</f>
        <v/>
      </c>
      <c r="E58" s="20" t="inlineStr">
        <is>
          <t>BMFCKF9</t>
        </is>
      </c>
    </row>
    <row r="59">
      <c r="A59" s="28" t="n">
        <v>1672</v>
      </c>
      <c r="B59" s="2" t="inlineStr">
        <is>
          <t>GRUPA KETY SA COMMON STOCK PLN 2.5</t>
        </is>
      </c>
      <c r="C59" s="18" t="n">
        <v>179523.08</v>
      </c>
      <c r="D59" s="19">
        <f>C59/$C$116</f>
        <v/>
      </c>
      <c r="E59" s="20" t="inlineStr">
        <is>
          <t>5216385</t>
        </is>
      </c>
    </row>
    <row r="60">
      <c r="A60" s="28" t="n">
        <v>3693</v>
      </c>
      <c r="B60" s="2" t="inlineStr">
        <is>
          <t>MOUWASAT MEDICAL SERVICES CO COMMON STOCK SAR 10</t>
        </is>
      </c>
      <c r="C60" s="18" t="n">
        <v>178741.92</v>
      </c>
      <c r="D60" s="19">
        <f>C60/$C$116</f>
        <v/>
      </c>
      <c r="E60" s="20" t="inlineStr">
        <is>
          <t>B403QG4</t>
        </is>
      </c>
    </row>
    <row r="61">
      <c r="A61" s="28" t="n">
        <v>19263</v>
      </c>
      <c r="B61" s="2" t="inlineStr">
        <is>
          <t>ETIHAD ETISALAT CO COMMON STOCK SAR 10</t>
        </is>
      </c>
      <c r="C61" s="18" t="n">
        <v>177972.01</v>
      </c>
      <c r="D61" s="19">
        <f>C61/$C$116</f>
        <v/>
      </c>
      <c r="E61" s="20" t="inlineStr">
        <is>
          <t>B12LR51</t>
        </is>
      </c>
    </row>
    <row r="62">
      <c r="A62" s="28" t="n">
        <v>2526</v>
      </c>
      <c r="B62" s="2" t="inlineStr">
        <is>
          <t>KRUK SA COMMON STOCK PLN 1</t>
        </is>
      </c>
      <c r="C62" s="18" t="n">
        <v>177297.52</v>
      </c>
      <c r="D62" s="19">
        <f>C62/$C$116</f>
        <v/>
      </c>
      <c r="E62" s="20" t="inlineStr">
        <is>
          <t>B4PTLY0</t>
        </is>
      </c>
    </row>
    <row r="63">
      <c r="A63" s="28" t="n">
        <v>1268490</v>
      </c>
      <c r="B63" s="2" t="inlineStr">
        <is>
          <t>NOVATEK PJSC COMMON STOCK RUB 0.1</t>
        </is>
      </c>
      <c r="C63" s="18" t="n">
        <v>159899.63</v>
      </c>
      <c r="D63" s="19">
        <f>C63/$C$116</f>
        <v/>
      </c>
      <c r="E63" s="20" t="inlineStr">
        <is>
          <t>2H6464S</t>
        </is>
      </c>
    </row>
    <row r="64">
      <c r="A64" s="28" t="n">
        <v>103572</v>
      </c>
      <c r="B64" s="2" t="inlineStr">
        <is>
          <t>NOVATEK PJSC COMMON STOCK RUB 0.1</t>
        </is>
      </c>
      <c r="C64" s="18" t="n">
        <v>12831.89</v>
      </c>
      <c r="D64" s="19">
        <f>C64/$C$116</f>
        <v/>
      </c>
      <c r="E64" s="20" t="inlineStr">
        <is>
          <t>0H5828S</t>
        </is>
      </c>
    </row>
    <row r="65" customFormat="1" s="35">
      <c r="A65" s="30" t="n"/>
      <c r="B65" s="27" t="inlineStr">
        <is>
          <t>Subtotal</t>
        </is>
      </c>
      <c r="C65" s="29">
        <f>+C64+C63</f>
        <v/>
      </c>
      <c r="D65" s="31">
        <f>C65/$C$116</f>
        <v/>
      </c>
      <c r="E65" s="34" t="n"/>
      <c r="G65" s="3" t="n"/>
    </row>
    <row r="66">
      <c r="A66" s="28" t="n">
        <v>196322</v>
      </c>
      <c r="B66" s="2" t="inlineStr">
        <is>
          <t>QATAR GAS TRANSPORT CO LTD COMMON STOCK QAR 1</t>
        </is>
      </c>
      <c r="C66" s="18" t="n">
        <v>171891.02</v>
      </c>
      <c r="D66" s="19">
        <f>C66/$C$116</f>
        <v/>
      </c>
      <c r="E66" s="20" t="inlineStr">
        <is>
          <t>B0MLBC9</t>
        </is>
      </c>
    </row>
    <row r="67">
      <c r="A67" s="28" t="n">
        <v>256601</v>
      </c>
      <c r="B67" s="2" t="inlineStr">
        <is>
          <t>SALIK CO PJSC COMMON STOCK AED 0.01</t>
        </is>
      </c>
      <c r="C67" s="18" t="n">
        <v>166846.71</v>
      </c>
      <c r="D67" s="19">
        <f>C67/$C$116</f>
        <v/>
      </c>
      <c r="E67" s="20" t="inlineStr">
        <is>
          <t>BJN5952</t>
        </is>
      </c>
    </row>
    <row r="68">
      <c r="A68" s="28" t="n">
        <v>144384</v>
      </c>
      <c r="B68" s="2" t="inlineStr">
        <is>
          <t>DUBAI ISLAMIC BANK PJSC COMMON STOCK AED 1</t>
        </is>
      </c>
      <c r="C68" s="18" t="n">
        <v>166512.16</v>
      </c>
      <c r="D68" s="19">
        <f>C68/$C$116</f>
        <v/>
      </c>
      <c r="E68" s="20" t="inlineStr">
        <is>
          <t>6283452</t>
        </is>
      </c>
    </row>
    <row r="69">
      <c r="A69" s="28" t="n">
        <v>20423</v>
      </c>
      <c r="B69" s="2" t="inlineStr">
        <is>
          <t>SAUDI BRITISH BANK/THE COMMON STOCK SAR 10</t>
        </is>
      </c>
      <c r="C69" s="18" t="n">
        <v>162549.58</v>
      </c>
      <c r="D69" s="19">
        <f>C69/$C$116</f>
        <v/>
      </c>
      <c r="E69" s="20" t="inlineStr">
        <is>
          <t>B12LSY7</t>
        </is>
      </c>
    </row>
    <row r="70">
      <c r="A70" s="28" t="n">
        <v>292031</v>
      </c>
      <c r="B70" s="2" t="inlineStr">
        <is>
          <t>DUBAI ELECTRICITY &amp; WATER AU</t>
        </is>
      </c>
      <c r="C70" s="18" t="n">
        <v>158450.45</v>
      </c>
      <c r="D70" s="19">
        <f>C70/$C$116</f>
        <v/>
      </c>
      <c r="E70" s="20" t="inlineStr">
        <is>
          <t>BJLTVJ4</t>
        </is>
      </c>
    </row>
    <row r="71">
      <c r="A71" s="28" t="n">
        <v>66726</v>
      </c>
      <c r="B71" s="2" t="inlineStr">
        <is>
          <t>ABU DHABI ISLAMIC BANK PJSC COMMON STOCK AED 1</t>
        </is>
      </c>
      <c r="C71" s="18" t="n">
        <v>146575.93</v>
      </c>
      <c r="D71" s="19">
        <f>C71/$C$116</f>
        <v/>
      </c>
      <c r="E71" s="20" t="inlineStr">
        <is>
          <t>6001728</t>
        </is>
      </c>
    </row>
    <row r="72">
      <c r="A72" s="28" t="n">
        <v>43841</v>
      </c>
      <c r="B72" s="2" t="inlineStr">
        <is>
          <t>BANCA TRANSILVANIA SA COMMON STOCK RON 1</t>
        </is>
      </c>
      <c r="C72" s="18" t="n">
        <v>143407.19</v>
      </c>
      <c r="D72" s="19">
        <f>C72/$C$116</f>
        <v/>
      </c>
      <c r="E72" s="20" t="inlineStr">
        <is>
          <t>5393307</t>
        </is>
      </c>
    </row>
    <row r="73">
      <c r="A73" s="28" t="n">
        <v>99566</v>
      </c>
      <c r="B73" s="2" t="inlineStr">
        <is>
          <t>SIBANYE STILLWATER LTD COMMON STOCK ZAR</t>
        </is>
      </c>
      <c r="C73" s="18" t="n">
        <v>141888.15</v>
      </c>
      <c r="D73" s="19">
        <f>C73/$C$116</f>
        <v/>
      </c>
      <c r="E73" s="20" t="inlineStr">
        <is>
          <t>BL0L913</t>
        </is>
      </c>
    </row>
    <row r="74">
      <c r="A74" s="28" t="n">
        <v>55575</v>
      </c>
      <c r="B74" s="2" t="inlineStr">
        <is>
          <t>AVI LTD COMMON STOCK ZAR 5</t>
        </is>
      </c>
      <c r="C74" s="18" t="n">
        <v>140768.9</v>
      </c>
      <c r="D74" s="19">
        <f>C74/$C$116</f>
        <v/>
      </c>
      <c r="E74" s="20" t="inlineStr">
        <is>
          <t>6040958</t>
        </is>
      </c>
    </row>
    <row r="75">
      <c r="A75" s="28" t="n">
        <v>71192</v>
      </c>
      <c r="B75" s="2" t="inlineStr">
        <is>
          <t>MMC NORILSK NICKEL PJSC COMMON STOCK RUB 1</t>
        </is>
      </c>
      <c r="C75" s="18" t="n">
        <v>138842.06</v>
      </c>
      <c r="D75" s="19">
        <f>C75/$C$116</f>
        <v/>
      </c>
      <c r="E75" s="20" t="inlineStr">
        <is>
          <t>0H5804S</t>
        </is>
      </c>
    </row>
    <row r="76">
      <c r="A76" s="28" t="n">
        <v>49360</v>
      </c>
      <c r="B76" s="2" t="inlineStr">
        <is>
          <t>FIRST ABU DHABI BANK PJSC COMMON STOCK AED 1</t>
        </is>
      </c>
      <c r="C76" s="18" t="n">
        <v>137703.97</v>
      </c>
      <c r="D76" s="19">
        <f>C76/$C$116</f>
        <v/>
      </c>
      <c r="E76" s="20" t="inlineStr">
        <is>
          <t>6624471</t>
        </is>
      </c>
    </row>
    <row r="77">
      <c r="A77" s="28" t="n">
        <v>5652</v>
      </c>
      <c r="B77" s="2" t="inlineStr">
        <is>
          <t>KOMERCNI BANKA AS COMMON STOCK CZK 100</t>
        </is>
      </c>
      <c r="C77" s="18" t="n">
        <v>135618.56</v>
      </c>
      <c r="D77" s="19">
        <f>C77/$C$116</f>
        <v/>
      </c>
      <c r="E77" s="20" t="inlineStr">
        <is>
          <t>4519449</t>
        </is>
      </c>
    </row>
    <row r="78">
      <c r="A78" s="28" t="n">
        <v>300201</v>
      </c>
      <c r="B78" s="2" t="inlineStr">
        <is>
          <t>OLD MUTUAL LTD COMMON STOCK ZAR</t>
        </is>
      </c>
      <c r="C78" s="18" t="n">
        <v>130419.82</v>
      </c>
      <c r="D78" s="19">
        <f>C78/$C$116</f>
        <v/>
      </c>
      <c r="E78" s="20" t="inlineStr">
        <is>
          <t>BDVPYN5</t>
        </is>
      </c>
    </row>
    <row r="79">
      <c r="A79" s="28" t="n">
        <v>174489</v>
      </c>
      <c r="B79" s="2" t="inlineStr">
        <is>
          <t>FERTIGLOBE PLC COMMON STOCK USD</t>
        </is>
      </c>
      <c r="C79" s="18" t="n">
        <v>124571.59</v>
      </c>
      <c r="D79" s="19">
        <f>C79/$C$116</f>
        <v/>
      </c>
      <c r="E79" s="20" t="inlineStr">
        <is>
          <t>BMXCL70</t>
        </is>
      </c>
    </row>
    <row r="80">
      <c r="A80" s="28" t="n">
        <v>12293</v>
      </c>
      <c r="B80" s="2" t="inlineStr">
        <is>
          <t>BIDVEST GROUP LTD/THE COMMON STOCK ZAR 5</t>
        </is>
      </c>
      <c r="C80" s="18" t="n">
        <v>119034.62</v>
      </c>
      <c r="D80" s="19">
        <f>C80/$C$116</f>
        <v/>
      </c>
      <c r="E80" s="20" t="inlineStr">
        <is>
          <t>6100089</t>
        </is>
      </c>
    </row>
    <row r="81">
      <c r="A81" s="28" t="n">
        <v>2041744</v>
      </c>
      <c r="B81" s="2" t="inlineStr">
        <is>
          <t>ROSNEFT OIL CO PJSC COMMON STOCK RUB 0.01</t>
        </is>
      </c>
      <c r="C81" s="18" t="n">
        <v>61321.38</v>
      </c>
      <c r="D81" s="19">
        <f>C81/$C$116</f>
        <v/>
      </c>
      <c r="E81" s="20" t="inlineStr">
        <is>
          <t>0H5827S</t>
        </is>
      </c>
    </row>
    <row r="82">
      <c r="A82" s="28" t="n">
        <v>1677948</v>
      </c>
      <c r="B82" s="2" t="inlineStr">
        <is>
          <t>ROSNEFT OIL CO PJSC COMMON STOCK RUB</t>
        </is>
      </c>
      <c r="C82" s="18" t="n">
        <v>51336.71</v>
      </c>
      <c r="D82" s="19">
        <f>C82/$C$116</f>
        <v/>
      </c>
      <c r="E82" s="20" t="inlineStr">
        <is>
          <t>2H7674S</t>
        </is>
      </c>
    </row>
    <row r="83" customFormat="1" s="35">
      <c r="A83" s="30" t="n"/>
      <c r="B83" s="27" t="inlineStr">
        <is>
          <t>Subtotal</t>
        </is>
      </c>
      <c r="C83" s="29">
        <f>+C82+C81</f>
        <v/>
      </c>
      <c r="D83" s="31">
        <f>C83/$C$116</f>
        <v/>
      </c>
      <c r="E83" s="34" t="n"/>
      <c r="G83" s="3" t="n"/>
    </row>
    <row r="84">
      <c r="A84" s="28" t="n">
        <v>43702</v>
      </c>
      <c r="B84" s="2" t="inlineStr">
        <is>
          <t>WOOLWORTHS HOLDINGS LTD/SOUTH AFRICA COMMON STOCK ZAR 0</t>
        </is>
      </c>
      <c r="C84" s="18" t="n">
        <v>105445.97</v>
      </c>
      <c r="D84" s="19">
        <f>C84/$C$116</f>
        <v/>
      </c>
      <c r="E84" s="20" t="inlineStr">
        <is>
          <t>B06KZ97</t>
        </is>
      </c>
    </row>
    <row r="85">
      <c r="A85" s="28" t="n">
        <v>4733</v>
      </c>
      <c r="B85" s="2" t="inlineStr">
        <is>
          <t>ANGLO AMERICAN PLC COMMON STOCK GBP 0.54945</t>
        </is>
      </c>
      <c r="C85" s="18" t="n">
        <v>105214.59</v>
      </c>
      <c r="D85" s="19">
        <f>C85/$C$116</f>
        <v/>
      </c>
      <c r="E85" s="20" t="inlineStr">
        <is>
          <t>B1XZS82</t>
        </is>
      </c>
    </row>
    <row r="86">
      <c r="A86" s="28" t="n">
        <v>153691</v>
      </c>
      <c r="B86" s="2" t="inlineStr">
        <is>
          <t>ADNOC GAS PLC</t>
        </is>
      </c>
      <c r="C86" s="18" t="n">
        <v>103646.44</v>
      </c>
      <c r="D86" s="19">
        <f>C86/$C$116</f>
        <v/>
      </c>
      <c r="E86" s="20" t="inlineStr">
        <is>
          <t>BPJLW35</t>
        </is>
      </c>
    </row>
    <row r="87">
      <c r="A87" s="28" t="n">
        <v>78324</v>
      </c>
      <c r="B87" s="2" t="inlineStr">
        <is>
          <t>OUTSURANCE GROUP LTD COMMON STOCK ZAR 0.0001</t>
        </is>
      </c>
      <c r="C87" s="18" t="n">
        <v>99976.85000000001</v>
      </c>
      <c r="D87" s="19">
        <f>C87/$C$116</f>
        <v/>
      </c>
      <c r="E87" s="20" t="inlineStr">
        <is>
          <t>BN6QSM0</t>
        </is>
      </c>
    </row>
    <row r="88">
      <c r="A88" s="28" t="n">
        <v>23970</v>
      </c>
      <c r="B88" s="2" t="inlineStr">
        <is>
          <t>FOSCHINI GROUP LTD/THE COMMON STOCK ZAR 1.25</t>
        </is>
      </c>
      <c r="C88" s="18" t="n">
        <v>81112.61</v>
      </c>
      <c r="D88" s="19">
        <f>C88/$C$116</f>
        <v/>
      </c>
      <c r="E88" s="20" t="inlineStr">
        <is>
          <t>6349688</t>
        </is>
      </c>
    </row>
    <row r="89">
      <c r="A89" s="28" t="n">
        <v>15672</v>
      </c>
      <c r="B89" s="2" t="inlineStr">
        <is>
          <t>MR PRICE GROUP LTD COMMON STOCK ZAR 0.025</t>
        </is>
      </c>
      <c r="C89" s="18" t="n">
        <v>79169.56</v>
      </c>
      <c r="D89" s="19">
        <f>C89/$C$116</f>
        <v/>
      </c>
      <c r="E89" s="20" t="inlineStr">
        <is>
          <t>BYXW419</t>
        </is>
      </c>
    </row>
    <row r="90">
      <c r="A90" s="28" t="n">
        <v>20379</v>
      </c>
      <c r="B90" s="2" t="inlineStr">
        <is>
          <t>MOTUS HOLDINGS LTD COMMON STOCK ZAR</t>
        </is>
      </c>
      <c r="C90" s="18" t="n">
        <v>75084.53</v>
      </c>
      <c r="D90" s="19">
        <f>C90/$C$116</f>
        <v/>
      </c>
      <c r="E90" s="20" t="inlineStr">
        <is>
          <t>BDRN3H0</t>
        </is>
      </c>
    </row>
    <row r="91">
      <c r="A91" s="28" t="n">
        <v>38152</v>
      </c>
      <c r="B91" s="2" t="inlineStr">
        <is>
          <t>TRUWORTHS INTERNATIONAL LTD COMMON STOCK ZAR 0.015</t>
        </is>
      </c>
      <c r="C91" s="18" t="n">
        <v>74019.69</v>
      </c>
      <c r="D91" s="19">
        <f>C91/$C$116</f>
        <v/>
      </c>
      <c r="E91" s="20" t="inlineStr">
        <is>
          <t>6113485</t>
        </is>
      </c>
    </row>
    <row r="92">
      <c r="A92" s="28" t="n">
        <v>3657350</v>
      </c>
      <c r="B92" s="2" t="inlineStr">
        <is>
          <t>NOVOLIPETSK STEEL PJSC COMMON STOCK RUB</t>
        </is>
      </c>
      <c r="C92" s="18" t="n">
        <v>68118.74000000001</v>
      </c>
      <c r="D92" s="19">
        <f>C92/$C$116</f>
        <v/>
      </c>
      <c r="E92" s="20" t="inlineStr">
        <is>
          <t>2H7675S</t>
        </is>
      </c>
    </row>
    <row r="93">
      <c r="A93" s="28" t="n">
        <v>6332</v>
      </c>
      <c r="B93" s="2" t="inlineStr">
        <is>
          <t>CLICKS GROUP LTD COMMON STOCK ZAR 1</t>
        </is>
      </c>
      <c r="C93" s="18" t="n">
        <v>60429.22</v>
      </c>
      <c r="D93" s="19">
        <f>C93/$C$116</f>
        <v/>
      </c>
      <c r="E93" s="20" t="inlineStr">
        <is>
          <t>6105578</t>
        </is>
      </c>
    </row>
    <row r="94">
      <c r="A94" s="28" t="n">
        <v>133931</v>
      </c>
      <c r="B94" s="2" t="inlineStr">
        <is>
          <t>ADNOC LOGISTICS &amp; SERVICES COMMON STOCK AED</t>
        </is>
      </c>
      <c r="C94" s="18" t="n">
        <v>59135.02</v>
      </c>
      <c r="D94" s="19">
        <f>C94/$C$116</f>
        <v/>
      </c>
      <c r="E94" s="20" t="inlineStr">
        <is>
          <t>6H9334S</t>
        </is>
      </c>
    </row>
    <row r="95">
      <c r="A95" s="28" t="n">
        <v>180877</v>
      </c>
      <c r="B95" s="2" t="inlineStr">
        <is>
          <t>MAGNIT PJSC COMMON STOCK RUB 0.01</t>
        </is>
      </c>
      <c r="C95" s="18" t="n">
        <v>54677.03</v>
      </c>
      <c r="D95" s="19">
        <f>C95/$C$116</f>
        <v/>
      </c>
      <c r="E95" s="20" t="inlineStr">
        <is>
          <t>0H5813S</t>
        </is>
      </c>
    </row>
    <row r="96">
      <c r="A96" s="28" t="n">
        <v>3244</v>
      </c>
      <c r="B96" s="2" t="inlineStr">
        <is>
          <t>TEN SQUARE GAMES SA COMMON STOCK PLN 0.1</t>
        </is>
      </c>
      <c r="C96" s="18" t="n">
        <v>50461.75</v>
      </c>
      <c r="D96" s="19">
        <f>C96/$C$116</f>
        <v/>
      </c>
      <c r="E96" s="20" t="inlineStr">
        <is>
          <t>BFZCQ74</t>
        </is>
      </c>
    </row>
    <row r="97">
      <c r="A97" s="28" t="n">
        <v>1265335</v>
      </c>
      <c r="B97" s="2" t="inlineStr">
        <is>
          <t>GAZPROM NEFT PJSC COMMON STOCK RUB</t>
        </is>
      </c>
      <c r="C97" s="18" t="n">
        <v>49409.88</v>
      </c>
      <c r="D97" s="19">
        <f>C97/$C$116</f>
        <v/>
      </c>
      <c r="E97" s="20" t="inlineStr">
        <is>
          <t>0H5803S</t>
        </is>
      </c>
    </row>
    <row r="98">
      <c r="A98" s="28" t="n">
        <v>730066</v>
      </c>
      <c r="B98" s="2" t="inlineStr">
        <is>
          <t>TATNEFT PJSC COMMON STOCK RUB</t>
        </is>
      </c>
      <c r="C98" s="18" t="n">
        <v>26721.69</v>
      </c>
      <c r="D98" s="19">
        <f>C98/$C$116</f>
        <v/>
      </c>
      <c r="E98" s="20" t="inlineStr">
        <is>
          <t>0H5822S</t>
        </is>
      </c>
    </row>
    <row r="99">
      <c r="A99" s="28" t="n">
        <v>571359</v>
      </c>
      <c r="B99" s="2" t="inlineStr">
        <is>
          <t>TATNEFT PJSC PREFERENCE RUB 1</t>
        </is>
      </c>
      <c r="C99" s="18" t="n">
        <v>18519.7</v>
      </c>
      <c r="D99" s="19">
        <f>C99/$C$116</f>
        <v/>
      </c>
      <c r="E99" s="20" t="inlineStr">
        <is>
          <t>0H5816S</t>
        </is>
      </c>
    </row>
    <row r="100" customFormat="1" s="35">
      <c r="A100" s="30" t="n"/>
      <c r="B100" s="27" t="inlineStr">
        <is>
          <t>Subtotal</t>
        </is>
      </c>
      <c r="C100" s="29">
        <f>+C99+C98</f>
        <v/>
      </c>
      <c r="D100" s="31">
        <f>C100/$C$116</f>
        <v/>
      </c>
      <c r="E100" s="34" t="n"/>
      <c r="G100" s="3" t="n"/>
    </row>
    <row r="101">
      <c r="A101" s="28" t="n">
        <v>6156103</v>
      </c>
      <c r="B101" s="2" t="inlineStr">
        <is>
          <t>ROSTELECOM PJSC COMMON STOCK RUB</t>
        </is>
      </c>
      <c r="C101" s="18" t="n">
        <v>42621.05</v>
      </c>
      <c r="D101" s="19">
        <f>C101/$C$116</f>
        <v/>
      </c>
      <c r="E101" s="20" t="inlineStr">
        <is>
          <t>0H5802S</t>
        </is>
      </c>
    </row>
    <row r="102">
      <c r="A102" s="28" t="n">
        <v>21233273216</v>
      </c>
      <c r="B102" s="2" t="inlineStr">
        <is>
          <t>VTB BANK PJSC COMMON STOCK RUB 0.01</t>
        </is>
      </c>
      <c r="C102" s="18" t="n">
        <v>40773.91</v>
      </c>
      <c r="D102" s="19">
        <f>C102/$C$116</f>
        <v/>
      </c>
      <c r="E102" s="20" t="inlineStr">
        <is>
          <t>0H5837S</t>
        </is>
      </c>
    </row>
    <row r="103">
      <c r="A103" s="28" t="n">
        <v>4003270</v>
      </c>
      <c r="B103" s="2" t="inlineStr">
        <is>
          <t>DETSKY MIR PJSC COMMON STOCK RUB 0.0004</t>
        </is>
      </c>
      <c r="C103" s="18" t="n">
        <v>33456.08</v>
      </c>
      <c r="D103" s="19">
        <f>C103/$C$116</f>
        <v/>
      </c>
      <c r="E103" s="20" t="inlineStr">
        <is>
          <t>0H5850S</t>
        </is>
      </c>
    </row>
    <row r="104">
      <c r="A104" s="28" t="n">
        <v>29773</v>
      </c>
      <c r="B104" s="2" t="inlineStr">
        <is>
          <t>POLYUS PJSC COMMON STOCK RUB</t>
        </is>
      </c>
      <c r="C104" s="18" t="n">
        <v>32898.97</v>
      </c>
      <c r="D104" s="19">
        <f>C104/$C$116</f>
        <v/>
      </c>
      <c r="E104" s="20" t="inlineStr">
        <is>
          <t>2H7182S</t>
        </is>
      </c>
    </row>
    <row r="105">
      <c r="A105" s="28" t="n">
        <v>169819</v>
      </c>
      <c r="B105" s="2" t="inlineStr">
        <is>
          <t>YANDEX NV COMMON STOCK USD 0.01</t>
        </is>
      </c>
      <c r="C105" s="18" t="n">
        <v>25951.04</v>
      </c>
      <c r="D105" s="19">
        <f>C105/$C$116</f>
        <v/>
      </c>
      <c r="E105" s="20" t="inlineStr">
        <is>
          <t>0H6379S</t>
        </is>
      </c>
    </row>
    <row r="106">
      <c r="A106" s="28" t="n">
        <v>432517</v>
      </c>
      <c r="B106" s="2" t="inlineStr">
        <is>
          <t>MD MEDICAL GROUP INVESTMENTS PLC GDR USD</t>
        </is>
      </c>
      <c r="C106" s="18" t="n">
        <v>19891.46</v>
      </c>
      <c r="D106" s="19">
        <f>C106/$C$116</f>
        <v/>
      </c>
      <c r="E106" s="20" t="inlineStr">
        <is>
          <t>0H6371S</t>
        </is>
      </c>
    </row>
    <row r="107">
      <c r="A107" s="28" t="n">
        <v>12313057</v>
      </c>
      <c r="B107" s="2" t="inlineStr">
        <is>
          <t>SISTEMA PJSFC COMMON STOCK RUB 0.09</t>
        </is>
      </c>
      <c r="C107" s="18" t="n">
        <v>14950.81</v>
      </c>
      <c r="D107" s="19">
        <f>C107/$C$116</f>
        <v/>
      </c>
      <c r="E107" s="20" t="inlineStr">
        <is>
          <t>0H5808S</t>
        </is>
      </c>
    </row>
    <row r="108">
      <c r="A108" s="28" t="n">
        <v>577525</v>
      </c>
      <c r="B108" s="2" t="inlineStr">
        <is>
          <t>FIX PRICE GROUP LTD GDR</t>
        </is>
      </c>
      <c r="C108" s="18" t="n">
        <v>4380.14</v>
      </c>
      <c r="D108" s="19">
        <f>C108/$C$116</f>
        <v/>
      </c>
      <c r="E108" s="20" t="inlineStr">
        <is>
          <t>0H6372S</t>
        </is>
      </c>
    </row>
    <row r="109">
      <c r="A109" s="28" t="n">
        <v>75226</v>
      </c>
      <c r="B109" s="2" t="inlineStr">
        <is>
          <t>TCS GROUP HOLDING PLC GDR</t>
        </is>
      </c>
      <c r="C109" s="18" t="n">
        <v>1938.01</v>
      </c>
      <c r="D109" s="19">
        <f>C109/$C$116</f>
        <v/>
      </c>
      <c r="E109" s="20" t="inlineStr">
        <is>
          <t>0H6380S</t>
        </is>
      </c>
    </row>
    <row r="110">
      <c r="A110" s="28" t="n">
        <v>275182</v>
      </c>
      <c r="B110" s="2" t="inlineStr">
        <is>
          <t>X 5 RETAIL GROUP NV-REGS GDR</t>
        </is>
      </c>
      <c r="C110" s="18" t="n">
        <v>1179.86</v>
      </c>
      <c r="D110" s="19">
        <f>C110/$C$116</f>
        <v/>
      </c>
      <c r="E110" s="20" t="inlineStr">
        <is>
          <t>0H6365S</t>
        </is>
      </c>
    </row>
    <row r="111">
      <c r="A111" s="28" t="n">
        <v>552780</v>
      </c>
      <c r="B111" s="2" t="inlineStr">
        <is>
          <t>SEVERSTAL PAO GDR USD</t>
        </is>
      </c>
      <c r="C111" s="18" t="n">
        <v>268.05</v>
      </c>
      <c r="D111" s="19">
        <f>C111/$C$116</f>
        <v/>
      </c>
      <c r="E111" s="20" t="inlineStr">
        <is>
          <t>0H6368S</t>
        </is>
      </c>
    </row>
    <row r="112">
      <c r="A112" s="28" t="n"/>
      <c r="C112" s="18" t="n"/>
      <c r="D112" s="19" t="n"/>
      <c r="E112" s="20" t="n"/>
    </row>
    <row r="113">
      <c r="A113" s="21" t="n"/>
      <c r="B113" s="21" t="inlineStr">
        <is>
          <t>Total portfolio</t>
        </is>
      </c>
      <c r="C113" s="39" t="n">
        <v>17979320.59</v>
      </c>
      <c r="D113" s="19">
        <f>C113/$C$116</f>
        <v/>
      </c>
    </row>
    <row r="114">
      <c r="B114" s="21" t="inlineStr">
        <is>
          <t>Net Current Assets</t>
        </is>
      </c>
      <c r="C114" s="39" t="n">
        <v>161995.9199999999</v>
      </c>
      <c r="D114" s="19">
        <f>C114/$C$116</f>
        <v/>
      </c>
    </row>
    <row r="115">
      <c r="B115" s="3" t="n"/>
      <c r="C115" s="39" t="n"/>
      <c r="D115" s="32" t="n"/>
    </row>
    <row r="116">
      <c r="B116" s="21" t="inlineStr">
        <is>
          <t>Total Assets</t>
        </is>
      </c>
      <c r="C116" s="22">
        <f>C113+C114</f>
        <v/>
      </c>
      <c r="D116" s="19">
        <f>C116/$C$116</f>
        <v/>
      </c>
    </row>
    <row r="117">
      <c r="A117"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8"/>
    <row r="119"/>
    <row r="120"/>
  </sheetData>
  <mergeCells count="2">
    <mergeCell ref="A117:E120"/>
    <mergeCell ref="A3:E6"/>
  </mergeCells>
  <pageMargins left="0.7" right="0.7" top="0.75" bottom="0.75" header="0.3" footer="0.3"/>
  <pageSetup orientation="portrait"/>
</worksheet>
</file>

<file path=xl/worksheets/sheet31.xml><?xml version="1.0" encoding="utf-8"?>
<worksheet xmlns="http://schemas.openxmlformats.org/spreadsheetml/2006/main">
  <sheetPr>
    <outlinePr summaryBelow="1" summaryRight="1"/>
    <pageSetUpPr/>
  </sheetPr>
  <dimension ref="A1:H119"/>
  <sheetViews>
    <sheetView workbookViewId="0">
      <selection activeCell="B16" sqref="B1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April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1000057.54</v>
      </c>
      <c r="B12" s="2" t="inlineStr">
        <is>
          <t>JPM GBP LIQUIDITY LVNAV X (DIST.)</t>
        </is>
      </c>
      <c r="C12" s="18" t="n">
        <v>1000057.54</v>
      </c>
      <c r="D12" s="19">
        <f>C12/$C$115</f>
        <v/>
      </c>
      <c r="E12" s="38" t="inlineStr">
        <is>
          <t>5819115</t>
        </is>
      </c>
      <c r="H12" s="40" t="n"/>
    </row>
    <row r="13">
      <c r="A13" s="28" t="n">
        <v>53763</v>
      </c>
      <c r="B13" s="2" t="inlineStr">
        <is>
          <t>AL RAJHI BANK COMMON STOCK SAR 10</t>
        </is>
      </c>
      <c r="C13" s="18" t="n">
        <v>875853.9</v>
      </c>
      <c r="D13" s="19">
        <f>C13/$C$115</f>
        <v/>
      </c>
      <c r="E13" s="38" t="inlineStr">
        <is>
          <t>B12LZH9</t>
        </is>
      </c>
      <c r="H13" s="40" t="n"/>
    </row>
    <row r="14">
      <c r="A14" s="28" t="n">
        <v>67786</v>
      </c>
      <c r="B14" s="2" t="inlineStr">
        <is>
          <t>THE SAUDI NATIONAL BANK</t>
        </is>
      </c>
      <c r="C14" s="18" t="n">
        <v>703130.3100000001</v>
      </c>
      <c r="D14" s="19">
        <f>C14/$C$115</f>
        <v/>
      </c>
      <c r="E14" s="20" t="inlineStr">
        <is>
          <t>BSHYYN1</t>
        </is>
      </c>
      <c r="H14" s="40" t="n"/>
    </row>
    <row r="15">
      <c r="A15" s="41" t="n">
        <v>4185</v>
      </c>
      <c r="B15" s="2" t="inlineStr">
        <is>
          <t>NASPERS LTD COMMON STOCK ZAR 2</t>
        </is>
      </c>
      <c r="C15" s="33" t="n">
        <v>593490.58</v>
      </c>
      <c r="D15" s="19">
        <f>C15/$C$115</f>
        <v/>
      </c>
      <c r="E15" s="20" t="inlineStr">
        <is>
          <t>6622691</t>
        </is>
      </c>
      <c r="H15" s="40" t="n"/>
    </row>
    <row r="16">
      <c r="A16" s="28" t="n">
        <v>30265</v>
      </c>
      <c r="B16" s="2" t="inlineStr">
        <is>
          <t>SAUDI BASIC INDUSTRIES CORP COMMON STOCK SAR 10</t>
        </is>
      </c>
      <c r="C16" s="18" t="n">
        <v>592555.91</v>
      </c>
      <c r="D16" s="19">
        <f>C16/$C$115</f>
        <v/>
      </c>
      <c r="E16" s="38" t="inlineStr">
        <is>
          <t>B1324D0</t>
        </is>
      </c>
      <c r="H16" s="40" t="n"/>
    </row>
    <row r="17">
      <c r="A17" s="28" t="n">
        <v>76757</v>
      </c>
      <c r="B17" s="2" t="inlineStr">
        <is>
          <t>SAUDI ARABIAN OIL CO COMMON STOCK SAR</t>
        </is>
      </c>
      <c r="C17" s="18" t="n">
        <v>586148.22</v>
      </c>
      <c r="D17" s="19">
        <f>C17/$C$115</f>
        <v/>
      </c>
      <c r="E17" s="38" t="inlineStr">
        <is>
          <t>BJTM270</t>
        </is>
      </c>
      <c r="H17" s="40" t="n"/>
    </row>
    <row r="18">
      <c r="A18" s="41" t="n">
        <v>145911</v>
      </c>
      <c r="B18" s="2" t="inlineStr">
        <is>
          <t>QATAR NATIONAL BANK QPSC COMMON STOCK QAR 1</t>
        </is>
      </c>
      <c r="C18" s="33" t="n">
        <v>488590.14</v>
      </c>
      <c r="D18" s="19">
        <f>C18/$C$115</f>
        <v/>
      </c>
      <c r="E18" s="20" t="inlineStr">
        <is>
          <t>6148197</t>
        </is>
      </c>
      <c r="H18" s="40" t="n"/>
    </row>
    <row r="19">
      <c r="A19" s="28" t="n">
        <v>165940</v>
      </c>
      <c r="B19" s="2" t="inlineStr">
        <is>
          <t>FIRSTRAND LTD COMMON STOCK ZAR 1</t>
        </is>
      </c>
      <c r="C19" s="18" t="n">
        <v>464586.04</v>
      </c>
      <c r="D19" s="19">
        <f>C19/$C$115</f>
        <v/>
      </c>
      <c r="E19" s="20" t="inlineStr">
        <is>
          <t>6606996</t>
        </is>
      </c>
      <c r="H19" s="40" t="n"/>
    </row>
    <row r="20">
      <c r="A20" s="28" t="n">
        <v>149253</v>
      </c>
      <c r="B20" s="2" t="inlineStr">
        <is>
          <t>INDUSTRIES QATAR QSC COMMON STOCK QAR 1</t>
        </is>
      </c>
      <c r="C20" s="18" t="n">
        <v>415940.45</v>
      </c>
      <c r="D20" s="19">
        <f>C20/$C$115</f>
        <v/>
      </c>
      <c r="E20" s="20" t="inlineStr">
        <is>
          <t>6673570</t>
        </is>
      </c>
      <c r="H20" s="40" t="n"/>
    </row>
    <row r="21">
      <c r="A21" s="28" t="n">
        <v>31177</v>
      </c>
      <c r="B21" s="2" t="inlineStr">
        <is>
          <t>GOLD FIELDS LTD COMMON STOCK ZAR 50</t>
        </is>
      </c>
      <c r="C21" s="18" t="n">
        <v>385302.62</v>
      </c>
      <c r="D21" s="19">
        <f>C21/$C$115</f>
        <v/>
      </c>
      <c r="E21" s="20" t="inlineStr">
        <is>
          <t>6280215</t>
        </is>
      </c>
      <c r="H21" s="40" t="n"/>
    </row>
    <row r="22">
      <c r="A22" s="28" t="n">
        <v>40325</v>
      </c>
      <c r="B22" s="2" t="inlineStr">
        <is>
          <t>SAUDI TELECOM CO COMMON STOCK</t>
        </is>
      </c>
      <c r="C22" s="18" t="n">
        <v>384495.29</v>
      </c>
      <c r="D22" s="19">
        <f>C22/$C$115</f>
        <v/>
      </c>
      <c r="E22" s="20" t="inlineStr">
        <is>
          <t>B12M7Q5</t>
        </is>
      </c>
      <c r="H22" s="40" t="n"/>
    </row>
    <row r="23">
      <c r="A23" s="28" t="n">
        <v>45012</v>
      </c>
      <c r="B23" s="2" t="inlineStr">
        <is>
          <t>STANDARD BANK GROUP LTD COMMON STOCK ZAR 10</t>
        </is>
      </c>
      <c r="C23" s="18" t="n">
        <v>335344.7</v>
      </c>
      <c r="D23" s="19">
        <f>C23/$C$115</f>
        <v/>
      </c>
      <c r="E23" s="20" t="inlineStr">
        <is>
          <t>B030GJ7</t>
        </is>
      </c>
      <c r="H23" s="40" t="n"/>
    </row>
    <row r="24">
      <c r="A24" s="28" t="n">
        <v>18315</v>
      </c>
      <c r="B24" s="2" t="inlineStr">
        <is>
          <t>BID CORP LTD COMMON STOCK ZAR</t>
        </is>
      </c>
      <c r="C24" s="18" t="n">
        <v>331666.24</v>
      </c>
      <c r="D24" s="19">
        <f>C24/$C$115</f>
        <v/>
      </c>
      <c r="E24" s="20" t="inlineStr">
        <is>
          <t>BZBFKT7</t>
        </is>
      </c>
      <c r="H24" s="40" t="n"/>
    </row>
    <row r="25">
      <c r="A25" s="28" t="n">
        <v>362649</v>
      </c>
      <c r="B25" s="2" t="inlineStr">
        <is>
          <t>LUKOIL PJSC COMMON STOCK RUB 0.025 RUB</t>
        </is>
      </c>
      <c r="C25" s="18" t="n">
        <v>185401.69</v>
      </c>
      <c r="D25" s="19">
        <f>C25/$C$115</f>
        <v/>
      </c>
      <c r="E25" s="20" t="inlineStr">
        <is>
          <t>2H6442S</t>
        </is>
      </c>
      <c r="H25" s="40" t="n"/>
    </row>
    <row r="26">
      <c r="A26" s="28" t="n">
        <v>262047</v>
      </c>
      <c r="B26" s="2" t="inlineStr">
        <is>
          <t>LUKOIL PJSC COMMON STOCK RUB</t>
        </is>
      </c>
      <c r="C26" s="18" t="n">
        <v>130010.63</v>
      </c>
      <c r="D26" s="19">
        <f>C26/$C$115</f>
        <v/>
      </c>
      <c r="E26" s="20" t="inlineStr">
        <is>
          <t>0H5797S</t>
        </is>
      </c>
      <c r="H26" s="40" t="n"/>
    </row>
    <row r="27" customFormat="1" s="35">
      <c r="A27" s="30" t="n"/>
      <c r="B27" s="27" t="inlineStr">
        <is>
          <t>Subtotal</t>
        </is>
      </c>
      <c r="C27" s="29">
        <f>+C26+C25</f>
        <v/>
      </c>
      <c r="D27" s="31">
        <f>C27/$C$115</f>
        <v/>
      </c>
      <c r="E27" s="34" t="n"/>
      <c r="G27" s="3" t="n"/>
    </row>
    <row r="28">
      <c r="A28" s="41" t="n">
        <v>244040</v>
      </c>
      <c r="B28" s="2" t="inlineStr">
        <is>
          <t>EMAAR PROPERTIES PJSC COMMON STOCK AED 1</t>
        </is>
      </c>
      <c r="C28" s="33" t="n">
        <v>313553.98</v>
      </c>
      <c r="D28" s="19">
        <f>C28/$C$115</f>
        <v/>
      </c>
      <c r="E28" s="38" t="inlineStr">
        <is>
          <t>B01RM25</t>
        </is>
      </c>
      <c r="H28" s="40" t="n"/>
    </row>
    <row r="29">
      <c r="A29" s="28" t="n">
        <v>22069</v>
      </c>
      <c r="B29" s="2" t="inlineStr">
        <is>
          <t>OPAP SA COMMON STOCK EUR 0.3</t>
        </is>
      </c>
      <c r="C29" s="18" t="n">
        <v>299681.89</v>
      </c>
      <c r="D29" s="19">
        <f>C29/$C$115</f>
        <v/>
      </c>
      <c r="E29" s="20" t="inlineStr">
        <is>
          <t>7107250</t>
        </is>
      </c>
      <c r="H29" s="40" t="n"/>
    </row>
    <row r="30">
      <c r="A30" s="28" t="n">
        <v>16143</v>
      </c>
      <c r="B30" s="2" t="inlineStr">
        <is>
          <t>JUMBO SA COMMON STOCK EUR 0.88</t>
        </is>
      </c>
      <c r="C30" s="18" t="n">
        <v>296345.88</v>
      </c>
      <c r="D30" s="19">
        <f>C30/$C$115</f>
        <v/>
      </c>
      <c r="E30" s="20" t="inlineStr">
        <is>
          <t>7243530</t>
        </is>
      </c>
      <c r="H30" s="40" t="n"/>
    </row>
    <row r="31">
      <c r="A31" s="28" t="n">
        <v>43770</v>
      </c>
      <c r="B31" s="2" t="inlineStr">
        <is>
          <t>ALINMA BANK COMMON STOCK SAR 10</t>
        </is>
      </c>
      <c r="C31" s="18" t="n">
        <v>293393.56</v>
      </c>
      <c r="D31" s="19">
        <f>C31/$C$115</f>
        <v/>
      </c>
      <c r="E31" s="20" t="inlineStr">
        <is>
          <t>B39NWT3</t>
        </is>
      </c>
      <c r="H31" s="40" t="n"/>
    </row>
    <row r="32">
      <c r="A32" s="28" t="n">
        <v>13785</v>
      </c>
      <c r="B32" s="2" t="inlineStr">
        <is>
          <t>ANGLOGOLD ASHANTI LTD COMMON STOCK ZAR 25</t>
        </is>
      </c>
      <c r="C32" s="18" t="n">
        <v>293169.42</v>
      </c>
      <c r="D32" s="19">
        <f>C32/$C$115</f>
        <v/>
      </c>
      <c r="E32" s="20" t="inlineStr">
        <is>
          <t>6565655</t>
        </is>
      </c>
      <c r="H32" s="40" t="n"/>
    </row>
    <row r="33">
      <c r="A33" s="41" t="n">
        <v>30074</v>
      </c>
      <c r="B33" s="2" t="inlineStr">
        <is>
          <t>SHOPRITE HOLDINGS LTD COMMON STOCK ZAR 113.4</t>
        </is>
      </c>
      <c r="C33" s="18" t="n">
        <v>291699.22</v>
      </c>
      <c r="D33" s="19">
        <f>C33/$C$115</f>
        <v/>
      </c>
      <c r="E33" s="20" t="inlineStr">
        <is>
          <t>6801575</t>
        </is>
      </c>
      <c r="H33" s="40" t="n"/>
    </row>
    <row r="34">
      <c r="A34" s="28" t="n">
        <v>309743</v>
      </c>
      <c r="B34" s="2" t="inlineStr">
        <is>
          <t>ADNOC DRILLING CO PJSC COMMON STOCK AED</t>
        </is>
      </c>
      <c r="C34" s="18" t="n">
        <v>287237.99</v>
      </c>
      <c r="D34" s="19">
        <f>C34/$C$115</f>
        <v/>
      </c>
      <c r="E34" s="38" t="inlineStr">
        <is>
          <t>BN12D39</t>
        </is>
      </c>
      <c r="H34" s="40" t="n"/>
    </row>
    <row r="35">
      <c r="A35" s="28" t="n">
        <v>35367</v>
      </c>
      <c r="B35" s="2" t="inlineStr">
        <is>
          <t>ABSA GROUP LTD</t>
        </is>
      </c>
      <c r="C35" s="18" t="n">
        <v>273045.36</v>
      </c>
      <c r="D35" s="19">
        <f>C35/$C$115</f>
        <v/>
      </c>
      <c r="E35" s="38" t="inlineStr">
        <is>
          <t>BFX05H3</t>
        </is>
      </c>
      <c r="H35" s="40" t="n"/>
    </row>
    <row r="36">
      <c r="A36" s="28" t="n">
        <v>14056</v>
      </c>
      <c r="B36" s="2" t="inlineStr">
        <is>
          <t>MOTOR OIL HELLAS CORINTH REFINERIES SA COMMON STOCK EUR 0.75</t>
        </is>
      </c>
      <c r="C36" s="18" t="n">
        <v>266675.95</v>
      </c>
      <c r="D36" s="19">
        <f>C36/$C$115</f>
        <v/>
      </c>
      <c r="E36" s="38" t="inlineStr">
        <is>
          <t>5996234</t>
        </is>
      </c>
      <c r="H36" s="40" t="n"/>
    </row>
    <row r="37">
      <c r="A37" s="28" t="n">
        <v>226609</v>
      </c>
      <c r="B37" s="2" t="inlineStr">
        <is>
          <t>ALDAR PROPERTIES PJSC COMMON STOCK AED 1</t>
        </is>
      </c>
      <c r="C37" s="18" t="n">
        <v>265135.28</v>
      </c>
      <c r="D37" s="19">
        <f>C37/$C$115</f>
        <v/>
      </c>
      <c r="E37" s="38" t="inlineStr">
        <is>
          <t>B0LX3Y2</t>
        </is>
      </c>
      <c r="H37" s="40" t="n"/>
    </row>
    <row r="38">
      <c r="A38" s="28" t="n">
        <v>33471</v>
      </c>
      <c r="B38" s="2" t="inlineStr">
        <is>
          <t>IMPALA PLATINUM HOLDINGS LTD COMMON STOCK ZAR 0</t>
        </is>
      </c>
      <c r="C38" s="18" t="n">
        <v>258640.63</v>
      </c>
      <c r="D38" s="19">
        <f>C38/$C$115</f>
        <v/>
      </c>
      <c r="E38" s="38" t="inlineStr">
        <is>
          <t>B1FFT76</t>
        </is>
      </c>
      <c r="H38" s="40" t="n"/>
    </row>
    <row r="39">
      <c r="A39" s="28" t="n">
        <v>38596</v>
      </c>
      <c r="B39" s="2" t="inlineStr">
        <is>
          <t>RIYAD BANK COMMON STOCK SAR 10</t>
        </is>
      </c>
      <c r="C39" s="18" t="n">
        <v>244384.46</v>
      </c>
      <c r="D39" s="19">
        <f>C39/$C$115</f>
        <v/>
      </c>
      <c r="E39" s="38" t="inlineStr">
        <is>
          <t>B12LZW4</t>
        </is>
      </c>
      <c r="H39" s="40" t="n"/>
    </row>
    <row r="40">
      <c r="A40" s="28" t="n">
        <v>8567</v>
      </c>
      <c r="B40" s="2" t="inlineStr">
        <is>
          <t>SABIC AGRI-NUTRIENTS CO COMMON STOCK SAR 10</t>
        </is>
      </c>
      <c r="C40" s="18" t="n">
        <v>242785.18</v>
      </c>
      <c r="D40" s="19">
        <f>C40/$C$115</f>
        <v/>
      </c>
      <c r="E40" s="38" t="inlineStr">
        <is>
          <t>B1323K0</t>
        </is>
      </c>
      <c r="H40" s="40" t="n"/>
    </row>
    <row r="41">
      <c r="A41" s="28" t="n">
        <v>123763</v>
      </c>
      <c r="B41" s="2" t="inlineStr">
        <is>
          <t>ABU DHABI COMMERCIAL BANK PJSC COMMON STOCK AED 1</t>
        </is>
      </c>
      <c r="C41" s="18" t="n">
        <v>235709.08</v>
      </c>
      <c r="D41" s="19">
        <f>C41/$C$115</f>
        <v/>
      </c>
      <c r="E41" s="38" t="inlineStr">
        <is>
          <t>6545464</t>
        </is>
      </c>
      <c r="H41" s="40" t="n"/>
    </row>
    <row r="42">
      <c r="A42" s="28" t="n">
        <v>95185</v>
      </c>
      <c r="B42" s="2" t="inlineStr">
        <is>
          <t>SANLAM LTD COMMON STOCK ZAR 1</t>
        </is>
      </c>
      <c r="C42" s="18" t="n">
        <v>233687.57</v>
      </c>
      <c r="D42" s="19">
        <f>C42/$C$115</f>
        <v/>
      </c>
      <c r="E42" s="38" t="inlineStr">
        <is>
          <t>B0L6750</t>
        </is>
      </c>
      <c r="H42" s="40" t="n"/>
    </row>
    <row r="43">
      <c r="A43" s="28" t="n">
        <v>2436</v>
      </c>
      <c r="B43" s="2" t="inlineStr">
        <is>
          <t>ELM CO COMMON STOCK SAR 10</t>
        </is>
      </c>
      <c r="C43" s="18" t="n">
        <v>228704.99</v>
      </c>
      <c r="D43" s="19">
        <f>C43/$C$115</f>
        <v/>
      </c>
      <c r="E43" s="38" t="inlineStr">
        <is>
          <t>BNYDSH8</t>
        </is>
      </c>
      <c r="H43" s="40" t="n"/>
    </row>
    <row r="44">
      <c r="A44" s="28" t="n">
        <v>8860909</v>
      </c>
      <c r="B44" s="2" t="inlineStr">
        <is>
          <t>GAZPROM PJSC COMMON STOCK RUB</t>
        </is>
      </c>
      <c r="C44" s="18" t="n">
        <v>203026.14</v>
      </c>
      <c r="D44" s="19">
        <f>C44/$C$115</f>
        <v/>
      </c>
      <c r="E44" s="38" t="inlineStr">
        <is>
          <t>0H5796S</t>
        </is>
      </c>
      <c r="H44" s="40" t="n"/>
    </row>
    <row r="45">
      <c r="A45" s="28" t="n">
        <v>5365084</v>
      </c>
      <c r="B45" s="2" t="inlineStr">
        <is>
          <t>GAZPROM PJSC ADR</t>
        </is>
      </c>
      <c r="C45" s="18" t="n">
        <v>24817.09</v>
      </c>
      <c r="D45" s="19">
        <f>C45/$C$115</f>
        <v/>
      </c>
      <c r="E45" s="20" t="inlineStr">
        <is>
          <t>0H6364S</t>
        </is>
      </c>
      <c r="H45" s="40" t="n"/>
    </row>
    <row r="46" customFormat="1" s="35">
      <c r="A46" s="30" t="n"/>
      <c r="B46" s="27" t="inlineStr">
        <is>
          <t>Subtotal</t>
        </is>
      </c>
      <c r="C46" s="29">
        <f>+C45+C44</f>
        <v/>
      </c>
      <c r="D46" s="31">
        <f>C46/$C$115</f>
        <v/>
      </c>
      <c r="E46" s="34" t="n"/>
      <c r="G46" s="3" t="n"/>
    </row>
    <row r="47">
      <c r="A47" s="28" t="n">
        <v>40456</v>
      </c>
      <c r="B47" s="2" t="inlineStr">
        <is>
          <t>VODACOM GROUP LTD COMMON STOCK ZAR</t>
        </is>
      </c>
      <c r="C47" s="18" t="n">
        <v>220457.73</v>
      </c>
      <c r="D47" s="19">
        <f>C47/$C$115</f>
        <v/>
      </c>
      <c r="E47" s="20" t="inlineStr">
        <is>
          <t>B65B4D0</t>
        </is>
      </c>
      <c r="H47" s="40" t="n"/>
    </row>
    <row r="48">
      <c r="A48" s="41" t="n">
        <v>14455036</v>
      </c>
      <c r="B48" s="2" t="inlineStr">
        <is>
          <t>SBERBANK OF RUSSIA PJSC PREFERENCE RUB 3</t>
        </is>
      </c>
      <c r="C48" s="33" t="n">
        <v>182705.03</v>
      </c>
      <c r="D48" s="19">
        <f>C48/$C$115</f>
        <v/>
      </c>
      <c r="E48" s="20" t="inlineStr">
        <is>
          <t>0H5856S</t>
        </is>
      </c>
      <c r="H48" s="40" t="n"/>
    </row>
    <row r="49">
      <c r="A49" s="28" t="n">
        <v>2355925</v>
      </c>
      <c r="B49" s="2" t="inlineStr">
        <is>
          <t>SBERBANK OF RUSSIA PJSC</t>
        </is>
      </c>
      <c r="C49" s="18" t="n">
        <v>29562.6</v>
      </c>
      <c r="D49" s="19">
        <f>C49/$C$115</f>
        <v/>
      </c>
      <c r="E49" s="20" t="inlineStr">
        <is>
          <t>0H5855S</t>
        </is>
      </c>
      <c r="H49" s="40" t="n"/>
    </row>
    <row r="50" customFormat="1" s="35">
      <c r="A50" s="30" t="n"/>
      <c r="B50" s="27" t="inlineStr">
        <is>
          <t>Subtotal</t>
        </is>
      </c>
      <c r="C50" s="29">
        <f>+C49+C48</f>
        <v/>
      </c>
      <c r="D50" s="31">
        <f>C50/$C$115</f>
        <v/>
      </c>
      <c r="E50" s="34" t="n"/>
      <c r="G50" s="3" t="n"/>
    </row>
    <row r="51">
      <c r="A51" s="28" t="n">
        <v>7955</v>
      </c>
      <c r="B51" s="2" t="inlineStr">
        <is>
          <t>LEEJAM SPORTS CO JSC COMMON STOCK SAR 10</t>
        </is>
      </c>
      <c r="C51" s="18" t="n">
        <v>199117.37</v>
      </c>
      <c r="D51" s="19">
        <f>C51/$C$115</f>
        <v/>
      </c>
      <c r="E51" s="20" t="inlineStr">
        <is>
          <t>BF12ZV5</t>
        </is>
      </c>
    </row>
    <row r="52">
      <c r="A52" s="28" t="n">
        <v>3693</v>
      </c>
      <c r="B52" s="2" t="inlineStr">
        <is>
          <t>MOUWASAT MEDICAL SERVICES CO COMMON STOCK SAR 10</t>
        </is>
      </c>
      <c r="C52" s="18" t="n">
        <v>192708.72</v>
      </c>
      <c r="D52" s="19">
        <f>C52/$C$115</f>
        <v/>
      </c>
      <c r="E52" s="20" t="inlineStr">
        <is>
          <t>B403QG4</t>
        </is>
      </c>
    </row>
    <row r="53">
      <c r="A53" s="28" t="n">
        <v>5994</v>
      </c>
      <c r="B53" s="2" t="inlineStr">
        <is>
          <t>ARABIAN DRILLING CO COMMON STOCK SAR 10</t>
        </is>
      </c>
      <c r="C53" s="18" t="n">
        <v>187922.22</v>
      </c>
      <c r="D53" s="19">
        <f>C53/$C$115</f>
        <v/>
      </c>
      <c r="E53" s="20" t="inlineStr">
        <is>
          <t>BPNZYP9</t>
        </is>
      </c>
    </row>
    <row r="54">
      <c r="A54" s="28" t="n">
        <v>19263</v>
      </c>
      <c r="B54" s="2" t="inlineStr">
        <is>
          <t>ETIHAD ETISALAT CO COMMON STOCK SAR 10</t>
        </is>
      </c>
      <c r="C54" s="18" t="n">
        <v>187757.11</v>
      </c>
      <c r="D54" s="19">
        <f>C54/$C$115</f>
        <v/>
      </c>
      <c r="E54" s="20" t="inlineStr">
        <is>
          <t>B12LR51</t>
        </is>
      </c>
    </row>
    <row r="55">
      <c r="A55" s="28" t="n">
        <v>48489</v>
      </c>
      <c r="B55" s="2" t="inlineStr">
        <is>
          <t>STS HOLDING SA COMMON STOCK PLN</t>
        </is>
      </c>
      <c r="C55" s="18" t="n">
        <v>186406.53</v>
      </c>
      <c r="D55" s="19">
        <f>C55/$C$115</f>
        <v/>
      </c>
      <c r="E55" s="20" t="inlineStr">
        <is>
          <t>BMFCKF9</t>
        </is>
      </c>
    </row>
    <row r="56">
      <c r="A56" s="28" t="n">
        <v>721867</v>
      </c>
      <c r="B56" s="2" t="inlineStr">
        <is>
          <t>AL ANSARI FINANCIAL SERVICES PJSC COMMON STOCK AED</t>
        </is>
      </c>
      <c r="C56" s="18" t="n">
        <v>184559.25</v>
      </c>
      <c r="D56" s="19">
        <f>C56/$C$115</f>
        <v/>
      </c>
      <c r="E56" s="20" t="inlineStr">
        <is>
          <t>BMWB101</t>
        </is>
      </c>
    </row>
    <row r="57">
      <c r="A57" s="28" t="n">
        <v>2526</v>
      </c>
      <c r="B57" s="2" t="inlineStr">
        <is>
          <t>KRUK SA COMMON STOCK PLN 1</t>
        </is>
      </c>
      <c r="C57" s="18" t="n">
        <v>181718.73</v>
      </c>
      <c r="D57" s="19">
        <f>C57/$C$115</f>
        <v/>
      </c>
      <c r="E57" s="20" t="inlineStr">
        <is>
          <t>B4PTLY0</t>
        </is>
      </c>
    </row>
    <row r="58">
      <c r="A58" s="28" t="n">
        <v>1672</v>
      </c>
      <c r="B58" s="2" t="inlineStr">
        <is>
          <t>GRUPA KETY SA COMMON STOCK PLN 2.5</t>
        </is>
      </c>
      <c r="C58" s="18" t="n">
        <v>181449.69</v>
      </c>
      <c r="D58" s="19">
        <f>C58/$C$115</f>
        <v/>
      </c>
      <c r="E58" s="20" t="inlineStr">
        <is>
          <t>5216385</t>
        </is>
      </c>
    </row>
    <row r="59">
      <c r="A59" s="28" t="n">
        <v>6612</v>
      </c>
      <c r="B59" s="2" t="inlineStr">
        <is>
          <t>ARABIAN CONTRACTING SERVICES CO COMMON STOCK SAR</t>
        </is>
      </c>
      <c r="C59" s="18" t="n">
        <v>177002.4</v>
      </c>
      <c r="D59" s="19">
        <f>C59/$C$115</f>
        <v/>
      </c>
      <c r="E59" s="20" t="inlineStr">
        <is>
          <t>BP4DC81</t>
        </is>
      </c>
    </row>
    <row r="60">
      <c r="A60" s="28" t="n">
        <v>99566</v>
      </c>
      <c r="B60" s="2" t="inlineStr">
        <is>
          <t>SIBANYE STILLWATER LTD COMMON STOCK ZAR</t>
        </is>
      </c>
      <c r="C60" s="18" t="n">
        <v>174905.64</v>
      </c>
      <c r="D60" s="19">
        <f>C60/$C$115</f>
        <v/>
      </c>
      <c r="E60" s="20" t="inlineStr">
        <is>
          <t>BL0L913</t>
        </is>
      </c>
    </row>
    <row r="61">
      <c r="A61" s="28" t="n">
        <v>144384</v>
      </c>
      <c r="B61" s="2" t="inlineStr">
        <is>
          <t>DUBAI ISLAMIC BANK PJSC COMMON STOCK AED 1</t>
        </is>
      </c>
      <c r="C61" s="18" t="n">
        <v>172997.89</v>
      </c>
      <c r="D61" s="19">
        <f>C61/$C$115</f>
        <v/>
      </c>
      <c r="E61" s="20" t="inlineStr">
        <is>
          <t>6283452</t>
        </is>
      </c>
    </row>
    <row r="62">
      <c r="A62" s="28" t="n">
        <v>4984</v>
      </c>
      <c r="B62" s="2" t="inlineStr">
        <is>
          <t>JARIR MARKETING CO COMMON STOCK SAR 10</t>
        </is>
      </c>
      <c r="C62" s="18" t="n">
        <v>172538.15</v>
      </c>
      <c r="D62" s="19">
        <f>C62/$C$115</f>
        <v/>
      </c>
      <c r="E62" s="20" t="inlineStr">
        <is>
          <t>B128FM5</t>
        </is>
      </c>
    </row>
    <row r="63">
      <c r="A63" s="28" t="n">
        <v>1268490</v>
      </c>
      <c r="B63" s="2" t="inlineStr">
        <is>
          <t>NOVATEK PJSC COMMON STOCK RUB 0.1</t>
        </is>
      </c>
      <c r="C63" s="18" t="n">
        <v>159688.48</v>
      </c>
      <c r="D63" s="19">
        <f>C63/$C$115</f>
        <v/>
      </c>
      <c r="E63" s="20" t="inlineStr">
        <is>
          <t>2H6464S</t>
        </is>
      </c>
    </row>
    <row r="64">
      <c r="A64" s="28" t="n">
        <v>103572</v>
      </c>
      <c r="B64" s="2" t="inlineStr">
        <is>
          <t>NOVATEK PJSC COMMON STOCK RUB 0.1</t>
        </is>
      </c>
      <c r="C64" s="18" t="n">
        <v>12653.23</v>
      </c>
      <c r="D64" s="19">
        <f>C64/$C$115</f>
        <v/>
      </c>
      <c r="E64" s="20" t="inlineStr">
        <is>
          <t>0H5828S</t>
        </is>
      </c>
    </row>
    <row r="65" customFormat="1" s="35">
      <c r="A65" s="30" t="n"/>
      <c r="B65" s="27" t="inlineStr">
        <is>
          <t>Subtotal</t>
        </is>
      </c>
      <c r="C65" s="29">
        <f>+C64+C63</f>
        <v/>
      </c>
      <c r="D65" s="31">
        <f>C65/$C$115</f>
        <v/>
      </c>
      <c r="E65" s="34" t="n"/>
      <c r="G65" s="3" t="n"/>
    </row>
    <row r="66">
      <c r="A66" s="28" t="n">
        <v>196322</v>
      </c>
      <c r="B66" s="2" t="inlineStr">
        <is>
          <t>QATAR GAS TRANSPORT CO LTD COMMON STOCK QAR 1</t>
        </is>
      </c>
      <c r="C66" s="18" t="n">
        <v>168253.35</v>
      </c>
      <c r="D66" s="19">
        <f>C66/$C$115</f>
        <v/>
      </c>
      <c r="E66" s="20" t="inlineStr">
        <is>
          <t>B0MLBC9</t>
        </is>
      </c>
    </row>
    <row r="67">
      <c r="A67" s="28" t="n">
        <v>256601</v>
      </c>
      <c r="B67" s="2" t="inlineStr">
        <is>
          <t>SALIK CO PJSC COMMON STOCK AED 0.01</t>
        </is>
      </c>
      <c r="C67" s="18" t="n">
        <v>166236.41</v>
      </c>
      <c r="D67" s="19">
        <f>C67/$C$115</f>
        <v/>
      </c>
      <c r="E67" s="20" t="inlineStr">
        <is>
          <t>BJN5952</t>
        </is>
      </c>
    </row>
    <row r="68">
      <c r="A68" s="28" t="n">
        <v>13199</v>
      </c>
      <c r="B68" s="2" t="inlineStr">
        <is>
          <t>UNITED INTERNATIONAL TRANSPORTATION CO COMMON STOCK SAR 10</t>
        </is>
      </c>
      <c r="C68" s="18" t="n">
        <v>165188.57</v>
      </c>
      <c r="D68" s="19">
        <f>C68/$C$115</f>
        <v/>
      </c>
      <c r="E68" s="20" t="inlineStr">
        <is>
          <t>B2493D0</t>
        </is>
      </c>
    </row>
    <row r="69">
      <c r="A69" s="28" t="n">
        <v>55575</v>
      </c>
      <c r="B69" s="2" t="inlineStr">
        <is>
          <t>AVI LTD COMMON STOCK ZAR 5</t>
        </is>
      </c>
      <c r="C69" s="18" t="n">
        <v>164832.58</v>
      </c>
      <c r="D69" s="19">
        <f>C69/$C$115</f>
        <v/>
      </c>
      <c r="E69" s="20" t="inlineStr">
        <is>
          <t>6040958</t>
        </is>
      </c>
    </row>
    <row r="70">
      <c r="A70" s="28" t="n">
        <v>66726</v>
      </c>
      <c r="B70" s="2" t="inlineStr">
        <is>
          <t>ABU DHABI ISLAMIC BANK PJSC COMMON STOCK AED 1</t>
        </is>
      </c>
      <c r="C70" s="18" t="n">
        <v>163658.34</v>
      </c>
      <c r="D70" s="19">
        <f>C70/$C$115</f>
        <v/>
      </c>
      <c r="E70" s="20" t="inlineStr">
        <is>
          <t>6001728</t>
        </is>
      </c>
    </row>
    <row r="71">
      <c r="A71" s="28" t="n">
        <v>14849</v>
      </c>
      <c r="B71" s="2" t="inlineStr">
        <is>
          <t>RIYADH CABLES GROUP CO COMMON STOCK SAR 10</t>
        </is>
      </c>
      <c r="C71" s="18" t="n">
        <v>161585.18</v>
      </c>
      <c r="D71" s="19">
        <f>C71/$C$115</f>
        <v/>
      </c>
      <c r="E71" s="20" t="inlineStr">
        <is>
          <t>BNBPXW7</t>
        </is>
      </c>
    </row>
    <row r="72">
      <c r="A72" s="28" t="n">
        <v>20423</v>
      </c>
      <c r="B72" s="2" t="inlineStr">
        <is>
          <t>SAUDI BRITISH BANK/THE COMMON STOCK SAR 10</t>
        </is>
      </c>
      <c r="C72" s="18" t="n">
        <v>156391.7</v>
      </c>
      <c r="D72" s="19">
        <f>C72/$C$115</f>
        <v/>
      </c>
      <c r="E72" s="20" t="inlineStr">
        <is>
          <t>B12LSY7</t>
        </is>
      </c>
    </row>
    <row r="73">
      <c r="A73" s="28" t="n">
        <v>292031</v>
      </c>
      <c r="B73" s="2" t="inlineStr">
        <is>
          <t>DUBAI ELECTRICITY &amp; WATER AU</t>
        </is>
      </c>
      <c r="C73" s="18" t="n">
        <v>156286.88</v>
      </c>
      <c r="D73" s="19">
        <f>C73/$C$115</f>
        <v/>
      </c>
      <c r="E73" s="20" t="inlineStr">
        <is>
          <t>BJLTVJ4</t>
        </is>
      </c>
    </row>
    <row r="74">
      <c r="A74" s="28" t="n">
        <v>300201</v>
      </c>
      <c r="B74" s="2" t="inlineStr">
        <is>
          <t>OLD MUTUAL LTD COMMON STOCK ZAR</t>
        </is>
      </c>
      <c r="C74" s="18" t="n">
        <v>151270.66</v>
      </c>
      <c r="D74" s="19">
        <f>C74/$C$115</f>
        <v/>
      </c>
      <c r="E74" s="20" t="inlineStr">
        <is>
          <t>BDVPYN5</t>
        </is>
      </c>
    </row>
    <row r="75">
      <c r="A75" s="28" t="n">
        <v>49360</v>
      </c>
      <c r="B75" s="2" t="inlineStr">
        <is>
          <t>FIRST ABU DHABI BANK PJSC COMMON STOCK AED 1</t>
        </is>
      </c>
      <c r="C75" s="18" t="n">
        <v>150582.47</v>
      </c>
      <c r="D75" s="19">
        <f>C75/$C$115</f>
        <v/>
      </c>
      <c r="E75" s="20" t="inlineStr">
        <is>
          <t>6624471</t>
        </is>
      </c>
    </row>
    <row r="76">
      <c r="A76" s="28" t="n">
        <v>43841</v>
      </c>
      <c r="B76" s="2" t="inlineStr">
        <is>
          <t>BANCA TRANSILVANIA SA COMMON STOCK RON 1</t>
        </is>
      </c>
      <c r="C76" s="18" t="n">
        <v>149586.71</v>
      </c>
      <c r="D76" s="19">
        <f>C76/$C$115</f>
        <v/>
      </c>
      <c r="E76" s="20" t="inlineStr">
        <is>
          <t>5393307</t>
        </is>
      </c>
    </row>
    <row r="77">
      <c r="A77" s="28" t="n">
        <v>5652</v>
      </c>
      <c r="B77" s="2" t="inlineStr">
        <is>
          <t>KOMERCNI BANKA AS COMMON STOCK CZK 100</t>
        </is>
      </c>
      <c r="C77" s="18" t="n">
        <v>145782.7</v>
      </c>
      <c r="D77" s="19">
        <f>C77/$C$115</f>
        <v/>
      </c>
      <c r="E77" s="20" t="inlineStr">
        <is>
          <t>4519449</t>
        </is>
      </c>
    </row>
    <row r="78">
      <c r="A78" s="28" t="n">
        <v>174489</v>
      </c>
      <c r="B78" s="2" t="inlineStr">
        <is>
          <t>FERTIGLOBE PLC COMMON STOCK</t>
        </is>
      </c>
      <c r="C78" s="18" t="n">
        <v>144420.23</v>
      </c>
      <c r="D78" s="19">
        <f>C78/$C$115</f>
        <v/>
      </c>
      <c r="E78" s="20" t="inlineStr">
        <is>
          <t>BMXCL70</t>
        </is>
      </c>
    </row>
    <row r="79">
      <c r="A79" s="28" t="n">
        <v>71192</v>
      </c>
      <c r="B79" s="2" t="inlineStr">
        <is>
          <t>MMC NORILSK NICKEL PJSC COMMON STOCK RUB 1</t>
        </is>
      </c>
      <c r="C79" s="18" t="n">
        <v>136908.95</v>
      </c>
      <c r="D79" s="19">
        <f>C79/$C$115</f>
        <v/>
      </c>
      <c r="E79" s="20" t="inlineStr">
        <is>
          <t>0H5804S</t>
        </is>
      </c>
    </row>
    <row r="80">
      <c r="A80" s="28" t="n">
        <v>12293</v>
      </c>
      <c r="B80" s="2" t="inlineStr">
        <is>
          <t>BIDVEST GROUP LTD/THE COMMON STOCK ZAR 5</t>
        </is>
      </c>
      <c r="C80" s="18" t="n">
        <v>133939.56</v>
      </c>
      <c r="D80" s="19">
        <f>C80/$C$115</f>
        <v/>
      </c>
      <c r="E80" s="20" t="inlineStr">
        <is>
          <t>6100089</t>
        </is>
      </c>
    </row>
    <row r="81">
      <c r="A81" s="28" t="n">
        <v>43702</v>
      </c>
      <c r="B81" s="2" t="inlineStr">
        <is>
          <t>WOOLWORTHS HOLDINGS LTD/SOUTH AFRICA COMMON STOCK ZAR 0</t>
        </is>
      </c>
      <c r="C81" s="18" t="n">
        <v>123456.46</v>
      </c>
      <c r="D81" s="19">
        <f>C81/$C$115</f>
        <v/>
      </c>
      <c r="E81" s="20" t="inlineStr">
        <is>
          <t>B06KZ97</t>
        </is>
      </c>
    </row>
    <row r="82">
      <c r="A82" s="28" t="n">
        <v>78324</v>
      </c>
      <c r="B82" s="2" t="inlineStr">
        <is>
          <t>OUTSURANCE GROUP LTD COMMON STOCK ZAR 0.0001</t>
        </is>
      </c>
      <c r="C82" s="18" t="n">
        <v>118538.23</v>
      </c>
      <c r="D82" s="19">
        <f>C82/$C$115</f>
        <v/>
      </c>
      <c r="E82" s="20" t="inlineStr">
        <is>
          <t>BN6QSM0</t>
        </is>
      </c>
    </row>
    <row r="83">
      <c r="A83" s="28" t="n">
        <v>4733</v>
      </c>
      <c r="B83" s="2" t="inlineStr">
        <is>
          <t>ANGLO AMERICAN PLC COMMON STOCK GBP 0.54945</t>
        </is>
      </c>
      <c r="C83" s="18" t="n">
        <v>115721.85</v>
      </c>
      <c r="D83" s="19">
        <f>C83/$C$115</f>
        <v/>
      </c>
      <c r="E83" s="20" t="inlineStr">
        <is>
          <t>B1XZS82</t>
        </is>
      </c>
    </row>
    <row r="84">
      <c r="A84" s="28" t="n">
        <v>2041744</v>
      </c>
      <c r="B84" s="2" t="inlineStr">
        <is>
          <t>ROSNEFT OIL CO PJSC COMMON STOCK RUB 0.01</t>
        </is>
      </c>
      <c r="C84" s="18" t="n">
        <v>60467.6</v>
      </c>
      <c r="D84" s="19">
        <f>C84/$C$115</f>
        <v/>
      </c>
      <c r="E84" s="20" t="inlineStr">
        <is>
          <t>0H5827S</t>
        </is>
      </c>
    </row>
    <row r="85">
      <c r="A85" s="28" t="n">
        <v>1677948</v>
      </c>
      <c r="B85" s="2" t="inlineStr">
        <is>
          <t>ROSNEFT OIL CO PJSC COMMON STOCK RUB</t>
        </is>
      </c>
      <c r="C85" s="18" t="n">
        <v>51268.92</v>
      </c>
      <c r="D85" s="19">
        <f>C85/$C$115</f>
        <v/>
      </c>
      <c r="E85" s="20" t="inlineStr">
        <is>
          <t>2H7674S</t>
        </is>
      </c>
    </row>
    <row r="86" customFormat="1" s="35">
      <c r="A86" s="30" t="n"/>
      <c r="B86" s="27" t="inlineStr">
        <is>
          <t>Subtotal</t>
        </is>
      </c>
      <c r="C86" s="29">
        <f>+C85+C84</f>
        <v/>
      </c>
      <c r="D86" s="31">
        <f>C86/$C$115</f>
        <v/>
      </c>
      <c r="E86" s="34" t="n"/>
      <c r="G86" s="3" t="n"/>
    </row>
    <row r="87">
      <c r="A87" s="28" t="n">
        <v>153691</v>
      </c>
      <c r="B87" s="2" t="inlineStr">
        <is>
          <t>ADNOC GAS PLC</t>
        </is>
      </c>
      <c r="C87" s="18" t="n">
        <v>106560.2</v>
      </c>
      <c r="D87" s="19">
        <f>C87/$C$115</f>
        <v/>
      </c>
      <c r="E87" s="20" t="inlineStr">
        <is>
          <t>BPJLW35</t>
        </is>
      </c>
    </row>
    <row r="88">
      <c r="A88" s="28" t="n">
        <v>15672</v>
      </c>
      <c r="B88" s="2" t="inlineStr">
        <is>
          <t>MR PRICE GROUP LTD COMMON STOCK ZAR 0.025</t>
        </is>
      </c>
      <c r="C88" s="18" t="n">
        <v>102580.31</v>
      </c>
      <c r="D88" s="19">
        <f>C88/$C$115</f>
        <v/>
      </c>
      <c r="E88" s="20" t="inlineStr">
        <is>
          <t>BYXW419</t>
        </is>
      </c>
    </row>
    <row r="89">
      <c r="A89" s="28" t="n">
        <v>23970</v>
      </c>
      <c r="B89" s="2" t="inlineStr">
        <is>
          <t>FOSCHINI GROUP LTD/THE COMMON STOCK ZAR 1.25</t>
        </is>
      </c>
      <c r="C89" s="18" t="n">
        <v>98744.84</v>
      </c>
      <c r="D89" s="19">
        <f>C89/$C$115</f>
        <v/>
      </c>
      <c r="E89" s="20" t="inlineStr">
        <is>
          <t>6349688</t>
        </is>
      </c>
    </row>
    <row r="90">
      <c r="A90" s="28" t="n">
        <v>38152</v>
      </c>
      <c r="B90" s="2" t="inlineStr">
        <is>
          <t>TRUWORTHS INTERNATIONAL LTD COMMON STOCK ZAR 0.015</t>
        </is>
      </c>
      <c r="C90" s="18" t="n">
        <v>90279.78999999999</v>
      </c>
      <c r="D90" s="19">
        <f>C90/$C$115</f>
        <v/>
      </c>
      <c r="E90" s="20" t="inlineStr">
        <is>
          <t>6113485</t>
        </is>
      </c>
    </row>
    <row r="91">
      <c r="A91" s="28" t="n">
        <v>20379</v>
      </c>
      <c r="B91" s="2" t="inlineStr">
        <is>
          <t>MOTUS HOLDINGS LTD COMMON STOCK ZAR</t>
        </is>
      </c>
      <c r="C91" s="18" t="n">
        <v>84244.28999999999</v>
      </c>
      <c r="D91" s="19">
        <f>C91/$C$115</f>
        <v/>
      </c>
      <c r="E91" s="20" t="inlineStr">
        <is>
          <t>BDRN3H0</t>
        </is>
      </c>
    </row>
    <row r="92">
      <c r="A92" s="28" t="n">
        <v>6332</v>
      </c>
      <c r="B92" s="2" t="inlineStr">
        <is>
          <t>CLICKS GROUP LTD COMMON STOCK ZAR 1</t>
        </is>
      </c>
      <c r="C92" s="18" t="n">
        <v>73581.31</v>
      </c>
      <c r="D92" s="19">
        <f>C92/$C$115</f>
        <v/>
      </c>
      <c r="E92" s="20" t="inlineStr">
        <is>
          <t>6105578</t>
        </is>
      </c>
    </row>
    <row r="93">
      <c r="A93" s="28" t="n">
        <v>3657350</v>
      </c>
      <c r="B93" s="2" t="inlineStr">
        <is>
          <t>NOVOLIPETSK STEEL PJSC COMMON STOCK RUB</t>
        </is>
      </c>
      <c r="C93" s="18" t="n">
        <v>68028.78</v>
      </c>
      <c r="D93" s="19">
        <f>C93/$C$115</f>
        <v/>
      </c>
      <c r="E93" s="20" t="inlineStr">
        <is>
          <t>2H7675S</t>
        </is>
      </c>
    </row>
    <row r="94">
      <c r="A94" s="28" t="n">
        <v>180877</v>
      </c>
      <c r="B94" s="2" t="inlineStr">
        <is>
          <t>MAGNIT PJSC COMMON STOCK RUB 0.01</t>
        </is>
      </c>
      <c r="C94" s="18" t="n">
        <v>53915.75</v>
      </c>
      <c r="D94" s="19">
        <f>C94/$C$115</f>
        <v/>
      </c>
      <c r="E94" s="20" t="inlineStr">
        <is>
          <t>0H5813S</t>
        </is>
      </c>
    </row>
    <row r="95">
      <c r="A95" s="28" t="n">
        <v>3244</v>
      </c>
      <c r="B95" s="2" t="inlineStr">
        <is>
          <t>TEN SQUARE GAMES SA COMMON STOCK PLN 0.1</t>
        </is>
      </c>
      <c r="C95" s="18" t="n">
        <v>50909.99</v>
      </c>
      <c r="D95" s="19">
        <f>C95/$C$115</f>
        <v/>
      </c>
      <c r="E95" s="20" t="inlineStr">
        <is>
          <t>BFZCQ74</t>
        </is>
      </c>
    </row>
    <row r="96">
      <c r="A96" s="28" t="n">
        <v>1265335</v>
      </c>
      <c r="B96" s="2" t="inlineStr">
        <is>
          <t>GAZPROM NEFT PJSC COMMON STOCK RUB</t>
        </is>
      </c>
      <c r="C96" s="18" t="n">
        <v>48721.94</v>
      </c>
      <c r="D96" s="19">
        <f>C96/$C$115</f>
        <v/>
      </c>
      <c r="E96" s="20" t="inlineStr">
        <is>
          <t>0H5803S</t>
        </is>
      </c>
    </row>
    <row r="97">
      <c r="A97" s="28" t="n">
        <v>730066</v>
      </c>
      <c r="B97" s="2" t="inlineStr">
        <is>
          <t>TATNEFT PJSC COMMON STOCK RUB</t>
        </is>
      </c>
      <c r="C97" s="18" t="n">
        <v>26349.64</v>
      </c>
      <c r="D97" s="19">
        <f>C97/$C$115</f>
        <v/>
      </c>
      <c r="E97" s="20" t="inlineStr">
        <is>
          <t>0H5822S</t>
        </is>
      </c>
    </row>
    <row r="98">
      <c r="A98" s="28" t="n">
        <v>571359</v>
      </c>
      <c r="B98" s="2" t="inlineStr">
        <is>
          <t>TATNEFT PJSC PREFERENCE RUB 1</t>
        </is>
      </c>
      <c r="C98" s="18" t="n">
        <v>18261.85</v>
      </c>
      <c r="D98" s="19">
        <f>C98/$C$115</f>
        <v/>
      </c>
      <c r="E98" s="20" t="inlineStr">
        <is>
          <t>0H5816S</t>
        </is>
      </c>
    </row>
    <row r="99" customFormat="1" s="35">
      <c r="A99" s="30" t="n"/>
      <c r="B99" s="27" t="inlineStr">
        <is>
          <t>Subtotal</t>
        </is>
      </c>
      <c r="C99" s="29">
        <f>+C98+C97</f>
        <v/>
      </c>
      <c r="D99" s="31">
        <f>C99/$C$115</f>
        <v/>
      </c>
      <c r="E99" s="34" t="n"/>
      <c r="G99" s="3" t="n"/>
    </row>
    <row r="100">
      <c r="A100" s="28" t="n">
        <v>6156103</v>
      </c>
      <c r="B100" s="2" t="inlineStr">
        <is>
          <t>ROSTELECOM PJSC COMMON STOCK RUB</t>
        </is>
      </c>
      <c r="C100" s="18" t="n">
        <v>42027.63</v>
      </c>
      <c r="D100" s="19">
        <f>C100/$C$115</f>
        <v/>
      </c>
      <c r="E100" s="20" t="inlineStr">
        <is>
          <t>0H5802S</t>
        </is>
      </c>
    </row>
    <row r="101">
      <c r="A101" s="28" t="n">
        <v>21233273216</v>
      </c>
      <c r="B101" s="2" t="inlineStr">
        <is>
          <t>VTB BANK PJSC COMMON STOCK RUB 0.01</t>
        </is>
      </c>
      <c r="C101" s="18" t="n">
        <v>40206.21</v>
      </c>
      <c r="D101" s="19">
        <f>C101/$C$115</f>
        <v/>
      </c>
      <c r="E101" s="20" t="inlineStr">
        <is>
          <t>0H5837S</t>
        </is>
      </c>
    </row>
    <row r="102">
      <c r="A102" s="28" t="n">
        <v>4003270</v>
      </c>
      <c r="B102" s="2" t="inlineStr">
        <is>
          <t>DETSKY MIR PJSC COMMON STOCK RUB 0.0004</t>
        </is>
      </c>
      <c r="C102" s="18" t="n">
        <v>32990.27</v>
      </c>
      <c r="D102" s="19">
        <f>C102/$C$115</f>
        <v/>
      </c>
      <c r="E102" s="20" t="inlineStr">
        <is>
          <t>0H5850S</t>
        </is>
      </c>
    </row>
    <row r="103">
      <c r="A103" s="28" t="n">
        <v>29773</v>
      </c>
      <c r="B103" s="2" t="inlineStr">
        <is>
          <t>POLYUS PJSC COMMON STOCK RUB</t>
        </is>
      </c>
      <c r="C103" s="18" t="n">
        <v>32855.53</v>
      </c>
      <c r="D103" s="19">
        <f>C103/$C$115</f>
        <v/>
      </c>
      <c r="E103" s="20" t="inlineStr">
        <is>
          <t>2H7182S</t>
        </is>
      </c>
    </row>
    <row r="104">
      <c r="A104" s="28" t="n">
        <v>169819</v>
      </c>
      <c r="B104" s="2" t="inlineStr">
        <is>
          <t>YANDEX NV COMMON STOCK USD 0.01</t>
        </is>
      </c>
      <c r="C104" s="18" t="n">
        <v>25589.72</v>
      </c>
      <c r="D104" s="19">
        <f>C104/$C$115</f>
        <v/>
      </c>
      <c r="E104" s="20" t="inlineStr">
        <is>
          <t>0H6379S</t>
        </is>
      </c>
    </row>
    <row r="105">
      <c r="A105" s="28" t="n">
        <v>432517</v>
      </c>
      <c r="B105" s="2" t="inlineStr">
        <is>
          <t>MD MEDICAL GROUP INVESTMENTS PLC GDR USD</t>
        </is>
      </c>
      <c r="C105" s="18" t="n">
        <v>19614.5</v>
      </c>
      <c r="D105" s="19">
        <f>C105/$C$115</f>
        <v/>
      </c>
      <c r="E105" s="20" t="inlineStr">
        <is>
          <t>0H6371S</t>
        </is>
      </c>
    </row>
    <row r="106">
      <c r="A106" s="28" t="n">
        <v>12313057</v>
      </c>
      <c r="B106" s="2" t="inlineStr">
        <is>
          <t>SISTEMA PJSFC COMMON STOCK RUB 0.09</t>
        </is>
      </c>
      <c r="C106" s="18" t="n">
        <v>14742.65</v>
      </c>
      <c r="D106" s="19">
        <f>C106/$C$115</f>
        <v/>
      </c>
      <c r="E106" s="20" t="inlineStr">
        <is>
          <t>0H5808S</t>
        </is>
      </c>
    </row>
    <row r="107">
      <c r="A107" s="28" t="n">
        <v>577525</v>
      </c>
      <c r="B107" s="2" t="inlineStr">
        <is>
          <t>FIX PRICE GROUP LTD GDR</t>
        </is>
      </c>
      <c r="C107" s="18" t="n">
        <v>4319.15</v>
      </c>
      <c r="D107" s="19">
        <f>C107/$C$115</f>
        <v/>
      </c>
      <c r="E107" s="20" t="inlineStr">
        <is>
          <t>0H6372S</t>
        </is>
      </c>
    </row>
    <row r="108">
      <c r="A108" s="28" t="n">
        <v>75226</v>
      </c>
      <c r="B108" s="2" t="inlineStr">
        <is>
          <t>TCS GROUP HOLDING PLC GDR</t>
        </is>
      </c>
      <c r="C108" s="18" t="n">
        <v>1911.03</v>
      </c>
      <c r="D108" s="19">
        <f>C108/$C$115</f>
        <v/>
      </c>
      <c r="E108" s="20" t="inlineStr">
        <is>
          <t>0H6380S</t>
        </is>
      </c>
    </row>
    <row r="109">
      <c r="A109" s="28" t="n">
        <v>275182</v>
      </c>
      <c r="B109" s="2" t="inlineStr">
        <is>
          <t>X 5 RETAIL GROUP NV-REGS GDR</t>
        </is>
      </c>
      <c r="C109" s="18" t="n">
        <v>1163.43</v>
      </c>
      <c r="D109" s="19">
        <f>C109/$C$115</f>
        <v/>
      </c>
      <c r="E109" s="20" t="inlineStr">
        <is>
          <t>0H6365S</t>
        </is>
      </c>
    </row>
    <row r="110">
      <c r="A110" s="28" t="n">
        <v>552780</v>
      </c>
      <c r="B110" s="2" t="inlineStr">
        <is>
          <t>SEVERSTAL PAO GDR USD</t>
        </is>
      </c>
      <c r="C110" s="18" t="n">
        <v>264.32</v>
      </c>
      <c r="D110" s="19">
        <f>C110/$C$115</f>
        <v/>
      </c>
      <c r="E110" s="20" t="inlineStr">
        <is>
          <t>0H6368S</t>
        </is>
      </c>
    </row>
    <row r="111">
      <c r="A111" s="28" t="n"/>
      <c r="C111" s="18" t="n"/>
      <c r="D111" s="19" t="n"/>
      <c r="E111" s="20" t="n"/>
    </row>
    <row r="112">
      <c r="A112" s="21" t="n"/>
      <c r="B112" s="21" t="inlineStr">
        <is>
          <t>Total portfolio</t>
        </is>
      </c>
      <c r="C112" s="39" t="n">
        <v>18650659.18</v>
      </c>
      <c r="D112" s="19">
        <f>C112/$C$115</f>
        <v/>
      </c>
    </row>
    <row r="113">
      <c r="B113" s="21" t="inlineStr">
        <is>
          <t>Net Current Assets</t>
        </is>
      </c>
      <c r="C113" s="39" t="n">
        <v>277708.1000000001</v>
      </c>
      <c r="D113" s="19">
        <f>C113/$C$115</f>
        <v/>
      </c>
    </row>
    <row r="114">
      <c r="B114" s="3" t="n"/>
      <c r="C114" s="39" t="n"/>
      <c r="D114" s="32" t="n"/>
    </row>
    <row r="115">
      <c r="B115" s="21" t="inlineStr">
        <is>
          <t>Total Assets</t>
        </is>
      </c>
      <c r="C115" s="22">
        <f>C112+C113</f>
        <v/>
      </c>
      <c r="D115" s="19">
        <f>C115/$C$115</f>
        <v/>
      </c>
    </row>
    <row r="116">
      <c r="A11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7"/>
    <row r="118"/>
    <row r="119"/>
  </sheetData>
  <mergeCells count="2">
    <mergeCell ref="A116:E119"/>
    <mergeCell ref="A3:E6"/>
  </mergeCells>
  <pageMargins left="0.7" right="0.7" top="0.75" bottom="0.75" header="0.3" footer="0.3"/>
  <pageSetup orientation="portrait"/>
</worksheet>
</file>

<file path=xl/worksheets/sheet32.xml><?xml version="1.0" encoding="utf-8"?>
<worksheet xmlns="http://schemas.openxmlformats.org/spreadsheetml/2006/main">
  <sheetPr>
    <outlinePr summaryBelow="1" summaryRight="1"/>
    <pageSetUpPr/>
  </sheetPr>
  <dimension ref="A1:H122"/>
  <sheetViews>
    <sheetView workbookViewId="0">
      <selection activeCell="B25" sqref="B25"/>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March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1005957.54</v>
      </c>
      <c r="B12" s="2" t="inlineStr">
        <is>
          <t>JPM GBP LIQUIDITY LVNAV X (DIST.)</t>
        </is>
      </c>
      <c r="C12" s="18" t="n">
        <v>1005957.54</v>
      </c>
      <c r="D12" s="19">
        <f>C12/$C$118</f>
        <v/>
      </c>
      <c r="E12" s="38" t="inlineStr">
        <is>
          <t>5819115</t>
        </is>
      </c>
      <c r="H12" s="40" t="n"/>
    </row>
    <row r="13">
      <c r="A13" s="28" t="n">
        <v>47835</v>
      </c>
      <c r="B13" s="2" t="inlineStr">
        <is>
          <t>AL RAJHI BANK COMMON STOCK SAR 10</t>
        </is>
      </c>
      <c r="C13" s="18" t="n">
        <v>756494.4300000001</v>
      </c>
      <c r="D13" s="19">
        <f>C13/$C$118</f>
        <v/>
      </c>
      <c r="E13" s="38" t="inlineStr">
        <is>
          <t>B12LZH9</t>
        </is>
      </c>
      <c r="H13" s="40" t="n"/>
    </row>
    <row r="14">
      <c r="A14" s="28" t="n">
        <v>67786</v>
      </c>
      <c r="B14" s="2" t="inlineStr">
        <is>
          <t>THE SAUDI NATIONAL BANK</t>
        </is>
      </c>
      <c r="C14" s="18" t="n">
        <v>669642.86</v>
      </c>
      <c r="D14" s="19">
        <f>C14/$C$118</f>
        <v/>
      </c>
      <c r="E14" s="20" t="inlineStr">
        <is>
          <t>BSHYYN1</t>
        </is>
      </c>
      <c r="H14" s="40" t="n"/>
    </row>
    <row r="15">
      <c r="A15" s="41" t="n">
        <v>4185</v>
      </c>
      <c r="B15" s="2" t="inlineStr">
        <is>
          <t>NASPERS LTD COMMON STOCK ZAR 2</t>
        </is>
      </c>
      <c r="C15" s="33" t="n">
        <v>628189.33</v>
      </c>
      <c r="D15" s="19">
        <f>C15/$C$118</f>
        <v/>
      </c>
      <c r="E15" s="20" t="inlineStr">
        <is>
          <t>6622691</t>
        </is>
      </c>
      <c r="H15" s="40" t="n"/>
    </row>
    <row r="16">
      <c r="A16" s="28" t="n">
        <v>30265</v>
      </c>
      <c r="B16" s="2" t="inlineStr">
        <is>
          <t>SAUDI BASIC INDUSTRIES CORP COMMON STOCK SAR 10</t>
        </is>
      </c>
      <c r="C16" s="18" t="n">
        <v>588833.25</v>
      </c>
      <c r="D16" s="19">
        <f>C16/$C$118</f>
        <v/>
      </c>
      <c r="E16" s="38" t="inlineStr">
        <is>
          <t>B1324D0</t>
        </is>
      </c>
      <c r="H16" s="40" t="n"/>
    </row>
    <row r="17">
      <c r="A17" s="28" t="n">
        <v>76757</v>
      </c>
      <c r="B17" s="2" t="inlineStr">
        <is>
          <t>SAUDI ARABIAN OIL CO COMMON STOCK SAR</t>
        </is>
      </c>
      <c r="C17" s="18" t="n">
        <v>534176.05</v>
      </c>
      <c r="D17" s="19">
        <f>C17/$C$118</f>
        <v/>
      </c>
      <c r="E17" s="38" t="inlineStr">
        <is>
          <t>BJTM270</t>
        </is>
      </c>
      <c r="H17" s="40" t="n"/>
    </row>
    <row r="18">
      <c r="A18" s="41" t="n">
        <v>145911</v>
      </c>
      <c r="B18" s="2" t="inlineStr">
        <is>
          <t>QATAR NATIONAL BANK QPSC COMMON STOCK QAR 1</t>
        </is>
      </c>
      <c r="C18" s="33" t="n">
        <v>520985.91</v>
      </c>
      <c r="D18" s="19">
        <f>C18/$C$118</f>
        <v/>
      </c>
      <c r="E18" s="20" t="inlineStr">
        <is>
          <t>6148197</t>
        </is>
      </c>
      <c r="H18" s="40" t="n"/>
    </row>
    <row r="19">
      <c r="A19" s="28" t="n">
        <v>159093</v>
      </c>
      <c r="B19" s="2" t="inlineStr">
        <is>
          <t>FIRSTRAND LTD COMMON STOCK ZAR 1</t>
        </is>
      </c>
      <c r="C19" s="18" t="n">
        <v>437877.69</v>
      </c>
      <c r="D19" s="19">
        <f>C19/$C$118</f>
        <v/>
      </c>
      <c r="E19" s="20" t="inlineStr">
        <is>
          <t>6606996</t>
        </is>
      </c>
      <c r="H19" s="40" t="n"/>
    </row>
    <row r="20">
      <c r="A20" s="28" t="n">
        <v>149253</v>
      </c>
      <c r="B20" s="2" t="inlineStr">
        <is>
          <t>INDUSTRIES QATAR QSC COMMON STOCK QAR 1</t>
        </is>
      </c>
      <c r="C20" s="18" t="n">
        <v>430115.52</v>
      </c>
      <c r="D20" s="19">
        <f>C20/$C$118</f>
        <v/>
      </c>
      <c r="E20" s="20" t="inlineStr">
        <is>
          <t>6673570</t>
        </is>
      </c>
      <c r="H20" s="40" t="n"/>
    </row>
    <row r="21">
      <c r="A21" s="28" t="n">
        <v>45012</v>
      </c>
      <c r="B21" s="2" t="inlineStr">
        <is>
          <t>STANDARD BANK GROUP LTD COMMON STOCK ZAR 10</t>
        </is>
      </c>
      <c r="C21" s="18" t="n">
        <v>354573.13</v>
      </c>
      <c r="D21" s="19">
        <f>C21/$C$118</f>
        <v/>
      </c>
      <c r="E21" s="20" t="inlineStr">
        <is>
          <t>B030GJ7</t>
        </is>
      </c>
      <c r="H21" s="40" t="n"/>
    </row>
    <row r="22">
      <c r="A22" s="28" t="n">
        <v>1539241</v>
      </c>
      <c r="B22" s="2" t="inlineStr">
        <is>
          <t>AL ANSARI FINANCIAL SERVICES PJSC COMMON STOCK AED</t>
        </is>
      </c>
      <c r="C22" s="18" t="n">
        <v>349144.74</v>
      </c>
      <c r="D22" s="19">
        <f>C22/$C$118</f>
        <v/>
      </c>
      <c r="E22" s="20" t="inlineStr">
        <is>
          <t>BMWB101</t>
        </is>
      </c>
      <c r="H22" s="40" t="n"/>
    </row>
    <row r="23">
      <c r="A23" s="28" t="n">
        <v>40325</v>
      </c>
      <c r="B23" s="2" t="inlineStr">
        <is>
          <t>SAUDI TELECOM CO COMMON STOCK</t>
        </is>
      </c>
      <c r="C23" s="18" t="n">
        <v>347534.77</v>
      </c>
      <c r="D23" s="19">
        <f>C23/$C$118</f>
        <v/>
      </c>
      <c r="E23" s="20" t="inlineStr">
        <is>
          <t>B12M7Q5</t>
        </is>
      </c>
      <c r="H23" s="40" t="n"/>
    </row>
    <row r="24">
      <c r="A24" s="28" t="n">
        <v>18315</v>
      </c>
      <c r="B24" s="2" t="inlineStr">
        <is>
          <t>BID CORP LTD COMMON STOCK ZAR</t>
        </is>
      </c>
      <c r="C24" s="18" t="n">
        <v>332693.17</v>
      </c>
      <c r="D24" s="19">
        <f>C24/$C$118</f>
        <v/>
      </c>
      <c r="E24" s="20" t="inlineStr">
        <is>
          <t>BZBFKT7</t>
        </is>
      </c>
      <c r="H24" s="40" t="n"/>
    </row>
    <row r="25">
      <c r="A25" s="28" t="n">
        <v>362649</v>
      </c>
      <c r="B25" s="2" t="inlineStr">
        <is>
          <t>LUKOIL PJSC COMMON STOCK RUB 0.025 RUB</t>
        </is>
      </c>
      <c r="C25" s="18" t="n">
        <v>194532.07</v>
      </c>
      <c r="D25" s="19">
        <f>C25/$C$118</f>
        <v/>
      </c>
      <c r="E25" s="20" t="inlineStr">
        <is>
          <t>2H6442S</t>
        </is>
      </c>
      <c r="H25" s="40" t="n"/>
    </row>
    <row r="26">
      <c r="A26" s="28" t="n">
        <v>262047</v>
      </c>
      <c r="B26" s="2" t="inlineStr">
        <is>
          <t>LUKOIL PJSC COMMON STOCK RUB</t>
        </is>
      </c>
      <c r="C26" s="18" t="n">
        <v>132160.92</v>
      </c>
      <c r="D26" s="19">
        <f>C26/$C$118</f>
        <v/>
      </c>
      <c r="E26" s="20" t="inlineStr">
        <is>
          <t>0H5797S</t>
        </is>
      </c>
      <c r="H26" s="40" t="n"/>
    </row>
    <row r="27" customFormat="1" s="35">
      <c r="A27" s="30" t="n"/>
      <c r="B27" s="27" t="inlineStr">
        <is>
          <t>Subtotal</t>
        </is>
      </c>
      <c r="C27" s="29">
        <f>+C26+C25</f>
        <v/>
      </c>
      <c r="D27" s="31">
        <f>C27/$C$118</f>
        <v/>
      </c>
      <c r="E27" s="34" t="n"/>
      <c r="G27" s="3" t="n"/>
    </row>
    <row r="28">
      <c r="A28" s="30" t="n">
        <v>30074</v>
      </c>
      <c r="B28" s="2" t="inlineStr">
        <is>
          <t>SHOPRITE HOLDINGS LTD COMMON STOCK ZAR 113.4</t>
        </is>
      </c>
      <c r="C28" s="33" t="n">
        <v>304692.07</v>
      </c>
      <c r="D28" s="19">
        <f>C28/$C$118</f>
        <v/>
      </c>
      <c r="E28" s="38" t="inlineStr">
        <is>
          <t>6801575</t>
        </is>
      </c>
      <c r="H28" s="40" t="n"/>
    </row>
    <row r="29">
      <c r="A29" s="28" t="n">
        <v>244040</v>
      </c>
      <c r="B29" s="2" t="inlineStr">
        <is>
          <t>EMAAR PROPERTIES PJSC COMMON STOCK AED 1</t>
        </is>
      </c>
      <c r="C29" s="18" t="n">
        <v>300961.33</v>
      </c>
      <c r="D29" s="19">
        <f>C29/$C$118</f>
        <v/>
      </c>
      <c r="E29" s="20" t="inlineStr">
        <is>
          <t>B01RM25</t>
        </is>
      </c>
      <c r="H29" s="40" t="n"/>
    </row>
    <row r="30">
      <c r="A30" s="28" t="n">
        <v>35367</v>
      </c>
      <c r="B30" s="2" t="inlineStr">
        <is>
          <t>ABSA GROUP LTD</t>
        </is>
      </c>
      <c r="C30" s="18" t="n">
        <v>293057.58</v>
      </c>
      <c r="D30" s="19">
        <f>C30/$C$118</f>
        <v/>
      </c>
      <c r="E30" s="20" t="inlineStr">
        <is>
          <t>BFX05H3</t>
        </is>
      </c>
      <c r="H30" s="40" t="n"/>
    </row>
    <row r="31">
      <c r="A31" s="28" t="n">
        <v>14056</v>
      </c>
      <c r="B31" s="2" t="inlineStr">
        <is>
          <t>MOTOR OIL HELLAS CORINTH REFINERIES SA COMMON STOCK EUR 0.75</t>
        </is>
      </c>
      <c r="C31" s="18" t="n">
        <v>292219.83</v>
      </c>
      <c r="D31" s="19">
        <f>C31/$C$118</f>
        <v/>
      </c>
      <c r="E31" s="20" t="inlineStr">
        <is>
          <t>5996234</t>
        </is>
      </c>
      <c r="H31" s="40" t="n"/>
    </row>
    <row r="32">
      <c r="A32" s="28" t="n">
        <v>22069</v>
      </c>
      <c r="B32" s="2" t="inlineStr">
        <is>
          <t>OPAP SA COMMON STOCK EUR 0.3</t>
        </is>
      </c>
      <c r="C32" s="18" t="n">
        <v>286803.22</v>
      </c>
      <c r="D32" s="19">
        <f>C32/$C$118</f>
        <v/>
      </c>
      <c r="E32" s="20" t="inlineStr">
        <is>
          <t>7107250</t>
        </is>
      </c>
      <c r="H32" s="40" t="n"/>
    </row>
    <row r="33">
      <c r="A33" s="30" t="n">
        <v>16143</v>
      </c>
      <c r="B33" s="2" t="inlineStr">
        <is>
          <t>JUMBO SA COMMON STOCK EUR 0.88</t>
        </is>
      </c>
      <c r="C33" s="18" t="n">
        <v>276316.23</v>
      </c>
      <c r="D33" s="19">
        <f>C33/$C$118</f>
        <v/>
      </c>
      <c r="E33" s="20" t="inlineStr">
        <is>
          <t>7243530</t>
        </is>
      </c>
      <c r="H33" s="40" t="n"/>
    </row>
    <row r="34">
      <c r="A34" s="28" t="n">
        <v>309743</v>
      </c>
      <c r="B34" s="2" t="inlineStr">
        <is>
          <t>ADNOC DRILLING CO PJSC COMMON STOCK AED</t>
        </is>
      </c>
      <c r="C34" s="18" t="n">
        <v>268756.74</v>
      </c>
      <c r="D34" s="19">
        <f>C34/$C$118</f>
        <v/>
      </c>
      <c r="E34" s="38" t="inlineStr">
        <is>
          <t>BN12D39</t>
        </is>
      </c>
      <c r="H34" s="40" t="n"/>
    </row>
    <row r="35">
      <c r="A35" s="28" t="n">
        <v>38596</v>
      </c>
      <c r="B35" s="2" t="inlineStr">
        <is>
          <t>RIYAD BANK COMMON STOCK SAR 10</t>
        </is>
      </c>
      <c r="C35" s="18" t="n">
        <v>245317.32</v>
      </c>
      <c r="D35" s="19">
        <f>C35/$C$118</f>
        <v/>
      </c>
      <c r="E35" s="38" t="inlineStr">
        <is>
          <t>B12LZW4</t>
        </is>
      </c>
      <c r="H35" s="40" t="n"/>
    </row>
    <row r="36">
      <c r="A36" s="28" t="n">
        <v>95185</v>
      </c>
      <c r="B36" s="2" t="inlineStr">
        <is>
          <t>SANLAM LTD COMMON STOCK ZAR 1</t>
        </is>
      </c>
      <c r="C36" s="18" t="n">
        <v>244539</v>
      </c>
      <c r="D36" s="19">
        <f>C36/$C$118</f>
        <v/>
      </c>
      <c r="E36" s="38" t="inlineStr">
        <is>
          <t>B0L6750</t>
        </is>
      </c>
      <c r="H36" s="40" t="n"/>
    </row>
    <row r="37">
      <c r="A37" s="28" t="n">
        <v>8567</v>
      </c>
      <c r="B37" s="2" t="inlineStr">
        <is>
          <t>SABIC AGRI-NUTRIENTS CO COMMON STOCK SAR 10</t>
        </is>
      </c>
      <c r="C37" s="18" t="n">
        <v>235159.26</v>
      </c>
      <c r="D37" s="19">
        <f>C37/$C$118</f>
        <v/>
      </c>
      <c r="E37" s="38" t="inlineStr">
        <is>
          <t>B1323K0</t>
        </is>
      </c>
      <c r="H37" s="40" t="n"/>
    </row>
    <row r="38">
      <c r="A38" s="28" t="n">
        <v>36677</v>
      </c>
      <c r="B38" s="2" t="inlineStr">
        <is>
          <t>ALINMA BANK COMMON STOCK SAR 10</t>
        </is>
      </c>
      <c r="C38" s="18" t="n">
        <v>232724.98</v>
      </c>
      <c r="D38" s="19">
        <f>C38/$C$118</f>
        <v/>
      </c>
      <c r="E38" s="38" t="inlineStr">
        <is>
          <t>B39NWT3</t>
        </is>
      </c>
      <c r="H38" s="40" t="n"/>
    </row>
    <row r="39">
      <c r="A39" s="28" t="n">
        <v>226609</v>
      </c>
      <c r="B39" s="2" t="inlineStr">
        <is>
          <t>ALDAR PROPERTIES PJSC COMMON STOCK AED 1</t>
        </is>
      </c>
      <c r="C39" s="18" t="n">
        <v>232055.44</v>
      </c>
      <c r="D39" s="19">
        <f>C39/$C$118</f>
        <v/>
      </c>
      <c r="E39" s="38" t="inlineStr">
        <is>
          <t>B0LX3Y2</t>
        </is>
      </c>
      <c r="H39" s="40" t="n"/>
    </row>
    <row r="40">
      <c r="A40" s="28" t="n">
        <v>8860909</v>
      </c>
      <c r="B40" s="2" t="inlineStr">
        <is>
          <t>GAZPROM PJSC COMMON STOCK RUB</t>
        </is>
      </c>
      <c r="C40" s="18" t="n">
        <v>206384.05</v>
      </c>
      <c r="D40" s="19">
        <f>C40/$C$118</f>
        <v/>
      </c>
      <c r="E40" s="38" t="inlineStr">
        <is>
          <t>0H5796S</t>
        </is>
      </c>
      <c r="H40" s="40" t="n"/>
    </row>
    <row r="41">
      <c r="A41" s="28" t="n">
        <v>5365084</v>
      </c>
      <c r="B41" s="2" t="inlineStr">
        <is>
          <t>GAZPROM PJSC ADR</t>
        </is>
      </c>
      <c r="C41" s="18" t="n">
        <v>25227.55</v>
      </c>
      <c r="D41" s="19">
        <f>C41/$C$118</f>
        <v/>
      </c>
      <c r="E41" s="20" t="inlineStr">
        <is>
          <t>0H6364S</t>
        </is>
      </c>
      <c r="H41" s="40" t="n"/>
    </row>
    <row r="42" customFormat="1" s="35">
      <c r="A42" s="30" t="n"/>
      <c r="B42" s="27" t="inlineStr">
        <is>
          <t>Subtotal</t>
        </is>
      </c>
      <c r="C42" s="29">
        <f>+C41+C40</f>
        <v/>
      </c>
      <c r="D42" s="31">
        <f>C42/$C$118</f>
        <v/>
      </c>
      <c r="E42" s="34" t="n"/>
      <c r="G42" s="3" t="n"/>
    </row>
    <row r="43">
      <c r="A43" s="28" t="n">
        <v>123762</v>
      </c>
      <c r="B43" s="2" t="inlineStr">
        <is>
          <t>ABU DHABI COMMERCIAL BANK PJSC COMMON STOCK AED 1</t>
        </is>
      </c>
      <c r="C43" s="18" t="n">
        <v>226217.95</v>
      </c>
      <c r="D43" s="19">
        <f>C43/$C$118</f>
        <v/>
      </c>
      <c r="E43" s="20" t="inlineStr">
        <is>
          <t>6545464</t>
        </is>
      </c>
      <c r="H43" s="40" t="n"/>
    </row>
    <row r="44">
      <c r="A44" s="28" t="n">
        <v>40456</v>
      </c>
      <c r="B44" s="2" t="inlineStr">
        <is>
          <t>VODACOM GROUP LTD COMMON STOCK ZAR</t>
        </is>
      </c>
      <c r="C44" s="18" t="n">
        <v>225039.21</v>
      </c>
      <c r="D44" s="19">
        <f>C44/$C$118</f>
        <v/>
      </c>
      <c r="E44" s="20" t="inlineStr">
        <is>
          <t>B65B4D0</t>
        </is>
      </c>
      <c r="H44" s="40" t="n"/>
    </row>
    <row r="45">
      <c r="A45" s="30" t="n">
        <v>14455036</v>
      </c>
      <c r="B45" s="2" t="inlineStr">
        <is>
          <t>SBERBANK OF RUSSIA PJSC PREFERENCE RUB 3</t>
        </is>
      </c>
      <c r="C45" s="33" t="n">
        <v>185726.84</v>
      </c>
      <c r="D45" s="19">
        <f>C45/$C$118</f>
        <v/>
      </c>
      <c r="E45" s="20" t="inlineStr">
        <is>
          <t>0H5856S</t>
        </is>
      </c>
      <c r="H45" s="40" t="n"/>
    </row>
    <row r="46">
      <c r="A46" s="28" t="n">
        <v>2355925</v>
      </c>
      <c r="B46" s="2" t="inlineStr">
        <is>
          <t>SBERBANK OF RUSSIA PJSC</t>
        </is>
      </c>
      <c r="C46" s="18" t="n">
        <v>30051.54</v>
      </c>
      <c r="D46" s="19">
        <f>C46/$C$118</f>
        <v/>
      </c>
      <c r="E46" s="20" t="inlineStr">
        <is>
          <t>0H5855S</t>
        </is>
      </c>
      <c r="H46" s="40" t="n"/>
    </row>
    <row r="47" customFormat="1" s="35">
      <c r="A47" s="30" t="n"/>
      <c r="B47" s="27" t="inlineStr">
        <is>
          <t>Subtotal</t>
        </is>
      </c>
      <c r="C47" s="29">
        <f>+C46+C45</f>
        <v/>
      </c>
      <c r="D47" s="31">
        <f>C47/$C$118</f>
        <v/>
      </c>
      <c r="E47" s="34" t="n"/>
      <c r="G47" s="3" t="n"/>
    </row>
    <row r="48">
      <c r="A48" s="28" t="n">
        <v>28379</v>
      </c>
      <c r="B48" s="2" t="inlineStr">
        <is>
          <t>IMPALA PLATINUM HOLDINGS LTD COMMON STOCK ZAR 0</t>
        </is>
      </c>
      <c r="C48" s="18" t="n">
        <v>211933.28</v>
      </c>
      <c r="D48" s="19">
        <f>C48/$C$118</f>
        <v/>
      </c>
      <c r="E48" s="20" t="inlineStr">
        <is>
          <t>B1FFT76</t>
        </is>
      </c>
    </row>
    <row r="49">
      <c r="A49" s="28" t="n">
        <v>10323</v>
      </c>
      <c r="B49" s="2" t="inlineStr">
        <is>
          <t>ANGLOGOLD ASHANTI LTD COMMON STOCK ZAR 25</t>
        </is>
      </c>
      <c r="C49" s="18" t="n">
        <v>202491.17</v>
      </c>
      <c r="D49" s="19">
        <f>C49/$C$118</f>
        <v/>
      </c>
      <c r="E49" s="20" t="inlineStr">
        <is>
          <t>6565655</t>
        </is>
      </c>
    </row>
    <row r="50">
      <c r="A50" s="28" t="n">
        <v>18714</v>
      </c>
      <c r="B50" s="2" t="inlineStr">
        <is>
          <t>GOLD FIELDS LTD COMMON STOCK ZAR 50</t>
        </is>
      </c>
      <c r="C50" s="18" t="n">
        <v>202173.21</v>
      </c>
      <c r="D50" s="19">
        <f>C50/$C$118</f>
        <v/>
      </c>
      <c r="E50" s="20" t="inlineStr">
        <is>
          <t>6280215</t>
        </is>
      </c>
    </row>
    <row r="51">
      <c r="A51" s="28" t="n">
        <v>5994</v>
      </c>
      <c r="B51" s="2" t="inlineStr">
        <is>
          <t>ARABIAN DRILLING CO COMMON STOCK SAR 10</t>
        </is>
      </c>
      <c r="C51" s="18" t="n">
        <v>195526.9</v>
      </c>
      <c r="D51" s="19">
        <f>C51/$C$118</f>
        <v/>
      </c>
      <c r="E51" s="20" t="inlineStr">
        <is>
          <t>BPNZYP9</t>
        </is>
      </c>
    </row>
    <row r="52">
      <c r="A52" s="28" t="n">
        <v>39182</v>
      </c>
      <c r="B52" s="2" t="inlineStr">
        <is>
          <t>EMIRATES TELECOMMUNICATIONS GROUP CO PJSC COMMON STOCK AED 1</t>
        </is>
      </c>
      <c r="C52" s="18" t="n">
        <v>190350.38</v>
      </c>
      <c r="D52" s="19">
        <f>C52/$C$118</f>
        <v/>
      </c>
      <c r="E52" s="20" t="inlineStr">
        <is>
          <t>6322173</t>
        </is>
      </c>
    </row>
    <row r="53">
      <c r="A53" s="28" t="n">
        <v>3693</v>
      </c>
      <c r="B53" s="2" t="inlineStr">
        <is>
          <t>MOUWASAT MEDICAL SERVICES CO COMMON STOCK SAR 10</t>
        </is>
      </c>
      <c r="C53" s="18" t="n">
        <v>186191.16</v>
      </c>
      <c r="D53" s="19">
        <f>C53/$C$118</f>
        <v/>
      </c>
      <c r="E53" s="20" t="inlineStr">
        <is>
          <t>B403QG4</t>
        </is>
      </c>
    </row>
    <row r="54">
      <c r="A54" s="28" t="n">
        <v>1268490</v>
      </c>
      <c r="B54" s="2" t="inlineStr">
        <is>
          <t>NOVATEK PJSC COMMON STOCK RUB 0.1</t>
        </is>
      </c>
      <c r="C54" s="18" t="n">
        <v>167552.57</v>
      </c>
      <c r="D54" s="19">
        <f>C54/$C$118</f>
        <v/>
      </c>
      <c r="E54" s="20" t="inlineStr">
        <is>
          <t>2H6464S</t>
        </is>
      </c>
    </row>
    <row r="55">
      <c r="A55" s="28" t="n">
        <v>103572</v>
      </c>
      <c r="B55" s="2" t="inlineStr">
        <is>
          <t>NOVATEK PJSC COMMON STOCK RUB 0.1</t>
        </is>
      </c>
      <c r="C55" s="18" t="n">
        <v>12862.5</v>
      </c>
      <c r="D55" s="19">
        <f>C55/$C$118</f>
        <v/>
      </c>
      <c r="E55" s="20" t="inlineStr">
        <is>
          <t>0H5828S</t>
        </is>
      </c>
    </row>
    <row r="56" customFormat="1" s="35">
      <c r="A56" s="30" t="n"/>
      <c r="B56" s="27" t="inlineStr">
        <is>
          <t>Subtotal</t>
        </is>
      </c>
      <c r="C56" s="29">
        <f>+C55+C54</f>
        <v/>
      </c>
      <c r="D56" s="31">
        <f>C56/$C$118</f>
        <v/>
      </c>
      <c r="E56" s="34" t="n"/>
      <c r="G56" s="3" t="n"/>
    </row>
    <row r="57">
      <c r="A57" s="28" t="n">
        <v>1891</v>
      </c>
      <c r="B57" s="2" t="inlineStr">
        <is>
          <t>ELM CO COMMON STOCK SAR 10</t>
        </is>
      </c>
      <c r="C57" s="18" t="n">
        <v>179922.09</v>
      </c>
      <c r="D57" s="19">
        <f>C57/$C$118</f>
        <v/>
      </c>
      <c r="E57" s="20" t="inlineStr">
        <is>
          <t>BNYDSH8</t>
        </is>
      </c>
    </row>
    <row r="58">
      <c r="A58" s="28" t="n">
        <v>7955</v>
      </c>
      <c r="B58" s="2" t="inlineStr">
        <is>
          <t>LEEJAM SPORTS CO JSC COMMON STOCK SAR 10</t>
        </is>
      </c>
      <c r="C58" s="18" t="n">
        <v>179281.62</v>
      </c>
      <c r="D58" s="19">
        <f>C58/$C$118</f>
        <v/>
      </c>
      <c r="E58" s="20" t="inlineStr">
        <is>
          <t>BF12ZV5</t>
        </is>
      </c>
    </row>
    <row r="59">
      <c r="A59" s="28" t="n">
        <v>55575</v>
      </c>
      <c r="B59" s="2" t="inlineStr">
        <is>
          <t>AVI LTD COMMON STOCK ZAR 5</t>
        </is>
      </c>
      <c r="C59" s="18" t="n">
        <v>177838.27</v>
      </c>
      <c r="D59" s="19">
        <f>C59/$C$118</f>
        <v/>
      </c>
      <c r="E59" s="20" t="inlineStr">
        <is>
          <t>6040958</t>
        </is>
      </c>
    </row>
    <row r="60">
      <c r="A60" s="28" t="n">
        <v>4984</v>
      </c>
      <c r="B60" s="2" t="inlineStr">
        <is>
          <t>JARIR MARKETING CO COMMON STOCK SAR 10</t>
        </is>
      </c>
      <c r="C60" s="18" t="n">
        <v>173748.25</v>
      </c>
      <c r="D60" s="19">
        <f>C60/$C$118</f>
        <v/>
      </c>
      <c r="E60" s="20" t="inlineStr">
        <is>
          <t>B128FM5</t>
        </is>
      </c>
    </row>
    <row r="61">
      <c r="A61" s="28" t="n">
        <v>6612</v>
      </c>
      <c r="B61" s="2" t="inlineStr">
        <is>
          <t>ARABIAN CONTRACTING SERVICES CO COMMON STOCK SAR</t>
        </is>
      </c>
      <c r="C61" s="18" t="n">
        <v>173517.8</v>
      </c>
      <c r="D61" s="19">
        <f>C61/$C$118</f>
        <v/>
      </c>
      <c r="E61" s="20" t="inlineStr">
        <is>
          <t>BP4DC81</t>
        </is>
      </c>
    </row>
    <row r="62">
      <c r="A62" s="28" t="n">
        <v>19263</v>
      </c>
      <c r="B62" s="2" t="inlineStr">
        <is>
          <t>ETIHAD ETISALAT CO COMMON STOCK SAR 10</t>
        </is>
      </c>
      <c r="C62" s="18" t="n">
        <v>170580.6</v>
      </c>
      <c r="D62" s="19">
        <f>C62/$C$118</f>
        <v/>
      </c>
      <c r="E62" s="20" t="inlineStr">
        <is>
          <t>B12LR51</t>
        </is>
      </c>
    </row>
    <row r="63">
      <c r="A63" s="28" t="n">
        <v>14849</v>
      </c>
      <c r="B63" s="2" t="inlineStr">
        <is>
          <t>RIYADH CABLES GROUP CO COMMON STOCK SAR 10</t>
        </is>
      </c>
      <c r="C63" s="18" t="n">
        <v>167965.62</v>
      </c>
      <c r="D63" s="19">
        <f>C63/$C$118</f>
        <v/>
      </c>
      <c r="E63" s="20" t="inlineStr">
        <is>
          <t>BNBPXW7</t>
        </is>
      </c>
    </row>
    <row r="64">
      <c r="A64" s="28" t="n">
        <v>48489</v>
      </c>
      <c r="B64" s="2" t="inlineStr">
        <is>
          <t>STS HOLDING SA COMMON STOCK PLN</t>
        </is>
      </c>
      <c r="C64" s="18" t="n">
        <v>166494.41</v>
      </c>
      <c r="D64" s="19">
        <f>C64/$C$118</f>
        <v/>
      </c>
      <c r="E64" s="20" t="inlineStr">
        <is>
          <t>BMFCKF9</t>
        </is>
      </c>
    </row>
    <row r="65">
      <c r="A65" s="28" t="n">
        <v>144384</v>
      </c>
      <c r="B65" s="2" t="inlineStr">
        <is>
          <t>DUBAI ISLAMIC BANK PJSC COMMON STOCK AED 1</t>
        </is>
      </c>
      <c r="C65" s="18" t="n">
        <v>166296.23</v>
      </c>
      <c r="D65" s="19">
        <f>C65/$C$118</f>
        <v/>
      </c>
      <c r="E65" s="20" t="inlineStr">
        <is>
          <t>6283452</t>
        </is>
      </c>
    </row>
    <row r="66">
      <c r="A66" s="28" t="n">
        <v>99566</v>
      </c>
      <c r="B66" s="2" t="inlineStr">
        <is>
          <t>SIBANYE STILLWATER LTD COMMON STOCK ZAR</t>
        </is>
      </c>
      <c r="C66" s="18" t="n">
        <v>166248.07</v>
      </c>
      <c r="D66" s="19">
        <f>C66/$C$118</f>
        <v/>
      </c>
      <c r="E66" s="20" t="inlineStr">
        <is>
          <t>BL0L913</t>
        </is>
      </c>
    </row>
    <row r="67">
      <c r="A67" s="28" t="n">
        <v>1672</v>
      </c>
      <c r="B67" s="2" t="inlineStr">
        <is>
          <t>GRUPA KETY SA COMMON STOCK PLN 2.5</t>
        </is>
      </c>
      <c r="C67" s="18" t="n">
        <v>166048.39</v>
      </c>
      <c r="D67" s="19">
        <f>C67/$C$118</f>
        <v/>
      </c>
      <c r="E67" s="20" t="inlineStr">
        <is>
          <t>5216385</t>
        </is>
      </c>
    </row>
    <row r="68">
      <c r="A68" s="28" t="n">
        <v>13199</v>
      </c>
      <c r="B68" s="2" t="inlineStr">
        <is>
          <t>UNITED INTERNATIONAL TRANSPORTATION CO COMMON STOCK SAR 10</t>
        </is>
      </c>
      <c r="C68" s="18" t="n">
        <v>164942.63</v>
      </c>
      <c r="D68" s="19">
        <f>C68/$C$118</f>
        <v/>
      </c>
      <c r="E68" s="20" t="inlineStr">
        <is>
          <t>B2493D0</t>
        </is>
      </c>
    </row>
    <row r="69">
      <c r="A69" s="28" t="n">
        <v>256601</v>
      </c>
      <c r="B69" s="2" t="inlineStr">
        <is>
          <t>SALIK CO PJSC COMMON STOCK AED 0.01</t>
        </is>
      </c>
      <c r="C69" s="18" t="n">
        <v>163311.9</v>
      </c>
      <c r="D69" s="19">
        <f>C69/$C$118</f>
        <v/>
      </c>
      <c r="E69" s="20" t="inlineStr">
        <is>
          <t>BJN5952</t>
        </is>
      </c>
    </row>
    <row r="70">
      <c r="A70" s="28" t="n">
        <v>300201</v>
      </c>
      <c r="B70" s="2" t="inlineStr">
        <is>
          <t>OLD MUTUAL LTD COMMON STOCK ZAR</t>
        </is>
      </c>
      <c r="C70" s="18" t="n">
        <v>161474.07</v>
      </c>
      <c r="D70" s="19">
        <f>C70/$C$118</f>
        <v/>
      </c>
      <c r="E70" s="20" t="inlineStr">
        <is>
          <t>BDVPYN5</t>
        </is>
      </c>
    </row>
    <row r="71">
      <c r="A71" s="28" t="n">
        <v>292031</v>
      </c>
      <c r="B71" s="2" t="inlineStr">
        <is>
          <t>DUBAI ELECTRICITY &amp; WATER AU</t>
        </is>
      </c>
      <c r="C71" s="18" t="n">
        <v>160136.36</v>
      </c>
      <c r="D71" s="19">
        <f>C71/$C$118</f>
        <v/>
      </c>
      <c r="E71" s="20" t="inlineStr">
        <is>
          <t>BJLTVJ4</t>
        </is>
      </c>
    </row>
    <row r="72">
      <c r="A72" s="28" t="n">
        <v>20423</v>
      </c>
      <c r="B72" s="2" t="inlineStr">
        <is>
          <t>SAUDI BRITISH BANK/THE COMMON STOCK SAR 10</t>
        </is>
      </c>
      <c r="C72" s="18" t="n">
        <v>154010.91</v>
      </c>
      <c r="D72" s="19">
        <f>C72/$C$118</f>
        <v/>
      </c>
      <c r="E72" s="20" t="inlineStr">
        <is>
          <t>B12LSY7</t>
        </is>
      </c>
    </row>
    <row r="73">
      <c r="A73" s="28" t="n">
        <v>174489</v>
      </c>
      <c r="B73" s="2" t="inlineStr">
        <is>
          <t>FERTIGLOBE PLC COMMON STOCK</t>
        </is>
      </c>
      <c r="C73" s="18" t="n">
        <v>153321.34</v>
      </c>
      <c r="D73" s="19">
        <f>C73/$C$118</f>
        <v/>
      </c>
      <c r="E73" s="20" t="inlineStr">
        <is>
          <t>BMXCL70</t>
        </is>
      </c>
    </row>
    <row r="74">
      <c r="A74" s="28" t="n">
        <v>43841</v>
      </c>
      <c r="B74" s="2" t="inlineStr">
        <is>
          <t>BANCA TRANSILVANIA SA COMMON STOCK RON 1</t>
        </is>
      </c>
      <c r="C74" s="18" t="n">
        <v>151834.1</v>
      </c>
      <c r="D74" s="19">
        <f>C74/$C$118</f>
        <v/>
      </c>
      <c r="E74" s="20" t="inlineStr">
        <is>
          <t>5393307</t>
        </is>
      </c>
    </row>
    <row r="75">
      <c r="A75" s="28" t="n">
        <v>5652</v>
      </c>
      <c r="B75" s="2" t="inlineStr">
        <is>
          <t>KOMERCNI BANKA AS COMMON STOCK CZK 100</t>
        </is>
      </c>
      <c r="C75" s="18" t="n">
        <v>151674.34</v>
      </c>
      <c r="D75" s="19">
        <f>C75/$C$118</f>
        <v/>
      </c>
      <c r="E75" s="20" t="inlineStr">
        <is>
          <t>4519449</t>
        </is>
      </c>
    </row>
    <row r="76">
      <c r="A76" s="28" t="n">
        <v>196322</v>
      </c>
      <c r="B76" s="2" t="inlineStr">
        <is>
          <t>QATAR GAS TRANSPORT CO LTD COMMON STOCK QAR 1</t>
        </is>
      </c>
      <c r="C76" s="18" t="n">
        <v>150883.45</v>
      </c>
      <c r="D76" s="19">
        <f>C76/$C$118</f>
        <v/>
      </c>
      <c r="E76" s="20" t="inlineStr">
        <is>
          <t>B0MLBC9</t>
        </is>
      </c>
    </row>
    <row r="77">
      <c r="A77" s="28" t="n">
        <v>161563</v>
      </c>
      <c r="B77" s="2" t="inlineStr">
        <is>
          <t>ABU DHABI NATIONAL OIL CO FOR DISTRIBUTION PJSC COMMON STOCK AED 0.08</t>
        </is>
      </c>
      <c r="C77" s="18" t="n">
        <v>148723.58</v>
      </c>
      <c r="D77" s="19">
        <f>C77/$C$118</f>
        <v/>
      </c>
      <c r="E77" s="20" t="inlineStr">
        <is>
          <t>BYVGM64</t>
        </is>
      </c>
    </row>
    <row r="78">
      <c r="A78" s="28" t="n">
        <v>2526</v>
      </c>
      <c r="B78" s="2" t="inlineStr">
        <is>
          <t>KRUK SA COMMON STOCK PLN 1</t>
        </is>
      </c>
      <c r="C78" s="18" t="n">
        <v>146153.33</v>
      </c>
      <c r="D78" s="19">
        <f>C78/$C$118</f>
        <v/>
      </c>
      <c r="E78" s="20" t="inlineStr">
        <is>
          <t>B4PTLY0</t>
        </is>
      </c>
    </row>
    <row r="79">
      <c r="A79" s="28" t="n">
        <v>66726</v>
      </c>
      <c r="B79" s="2" t="inlineStr">
        <is>
          <t>ABU DHABI ISLAMIC BANK PJSC COMMON STOCK AED 1</t>
        </is>
      </c>
      <c r="C79" s="18" t="n">
        <v>145917.03</v>
      </c>
      <c r="D79" s="19">
        <f>C79/$C$118</f>
        <v/>
      </c>
      <c r="E79" s="20" t="inlineStr">
        <is>
          <t>6001728</t>
        </is>
      </c>
    </row>
    <row r="80">
      <c r="A80" s="28" t="n">
        <v>12293</v>
      </c>
      <c r="B80" s="2" t="inlineStr">
        <is>
          <t>BIDVEST GROUP LTD/THE COMMON STOCK ZAR 5</t>
        </is>
      </c>
      <c r="C80" s="18" t="n">
        <v>142006.23</v>
      </c>
      <c r="D80" s="19">
        <f>C80/$C$118</f>
        <v/>
      </c>
      <c r="E80" s="20" t="inlineStr">
        <is>
          <t>6100089</t>
        </is>
      </c>
    </row>
    <row r="81">
      <c r="A81" s="28" t="n">
        <v>49360</v>
      </c>
      <c r="B81" s="2" t="inlineStr">
        <is>
          <t>FIRST ABU DHABI BANK PJSC COMMON STOCK AED 1</t>
        </is>
      </c>
      <c r="C81" s="18" t="n">
        <v>140007.94</v>
      </c>
      <c r="D81" s="19">
        <f>C81/$C$118</f>
        <v/>
      </c>
      <c r="E81" s="20" t="inlineStr">
        <is>
          <t>6624471</t>
        </is>
      </c>
    </row>
    <row r="82">
      <c r="A82" s="28" t="n">
        <v>71192</v>
      </c>
      <c r="B82" s="2" t="inlineStr">
        <is>
          <t>MMC NORILSK NICKEL PJSC COMMON STOCK RUB 1</t>
        </is>
      </c>
      <c r="C82" s="18" t="n">
        <v>139173.32</v>
      </c>
      <c r="D82" s="19">
        <f>C82/$C$118</f>
        <v/>
      </c>
      <c r="E82" s="20" t="inlineStr">
        <is>
          <t>0H5804S</t>
        </is>
      </c>
    </row>
    <row r="83">
      <c r="A83" s="28" t="n">
        <v>43702</v>
      </c>
      <c r="B83" s="2" t="inlineStr">
        <is>
          <t>WOOLWORTHS HOLDINGS LTD/SOUTH AFRICA COMMON STOCK ZAR 0</t>
        </is>
      </c>
      <c r="C83" s="18" t="n">
        <v>127334.69</v>
      </c>
      <c r="D83" s="19">
        <f>C83/$C$118</f>
        <v/>
      </c>
      <c r="E83" s="20" t="inlineStr">
        <is>
          <t>B06KZ97</t>
        </is>
      </c>
    </row>
    <row r="84">
      <c r="A84" s="28" t="n">
        <v>4733</v>
      </c>
      <c r="B84" s="2" t="inlineStr">
        <is>
          <t>ANGLO AMERICAN PLC COMMON STOCK GBP 0.54945</t>
        </is>
      </c>
      <c r="C84" s="18" t="n">
        <v>126749.74</v>
      </c>
      <c r="D84" s="19">
        <f>C84/$C$118</f>
        <v/>
      </c>
      <c r="E84" s="20" t="inlineStr">
        <is>
          <t>B1XZS82</t>
        </is>
      </c>
    </row>
    <row r="85">
      <c r="A85" s="28" t="n">
        <v>78324</v>
      </c>
      <c r="B85" s="2" t="inlineStr">
        <is>
          <t>OUTSURANCE GROUP LTD COMMON STOCK ZAR 0.0001</t>
        </is>
      </c>
      <c r="C85" s="18" t="n">
        <v>124674.53</v>
      </c>
      <c r="D85" s="19">
        <f>C85/$C$118</f>
        <v/>
      </c>
      <c r="E85" s="20" t="inlineStr">
        <is>
          <t>BN6QSM0</t>
        </is>
      </c>
    </row>
    <row r="86">
      <c r="A86" s="28" t="n">
        <v>2041744</v>
      </c>
      <c r="B86" s="2" t="inlineStr">
        <is>
          <t>ROSNEFT OIL CO PJSC COMMON STOCK RUB 0.01</t>
        </is>
      </c>
      <c r="C86" s="18" t="n">
        <v>61467.69</v>
      </c>
      <c r="D86" s="19">
        <f>C86/$C$118</f>
        <v/>
      </c>
      <c r="E86" s="20" t="inlineStr">
        <is>
          <t>0H5827S</t>
        </is>
      </c>
    </row>
    <row r="87">
      <c r="A87" s="28" t="n">
        <v>1677948</v>
      </c>
      <c r="B87" s="2" t="inlineStr">
        <is>
          <t>ROSNEFT OIL CO PJSC COMMON STOCK RUB</t>
        </is>
      </c>
      <c r="C87" s="18" t="n">
        <v>53793.73</v>
      </c>
      <c r="D87" s="19">
        <f>C87/$C$118</f>
        <v/>
      </c>
      <c r="E87" s="20" t="inlineStr">
        <is>
          <t>2H7674S</t>
        </is>
      </c>
    </row>
    <row r="88" customFormat="1" s="35">
      <c r="A88" s="30" t="n"/>
      <c r="B88" s="27" t="inlineStr">
        <is>
          <t>Subtotal</t>
        </is>
      </c>
      <c r="C88" s="29">
        <f>+C87+C86</f>
        <v/>
      </c>
      <c r="D88" s="31">
        <f>C88/$C$118</f>
        <v/>
      </c>
      <c r="E88" s="34" t="n"/>
      <c r="G88" s="3" t="n"/>
    </row>
    <row r="89">
      <c r="A89" s="28" t="n">
        <v>15672</v>
      </c>
      <c r="B89" s="2" t="inlineStr">
        <is>
          <t>MR PRICE GROUP LTD COMMON STOCK ZAR 0.025</t>
        </is>
      </c>
      <c r="C89" s="18" t="n">
        <v>103007.35</v>
      </c>
      <c r="D89" s="19">
        <f>C89/$C$118</f>
        <v/>
      </c>
      <c r="E89" s="20" t="inlineStr">
        <is>
          <t>BYXW419</t>
        </is>
      </c>
    </row>
    <row r="90">
      <c r="A90" s="28" t="n">
        <v>153691</v>
      </c>
      <c r="B90" s="2" t="inlineStr">
        <is>
          <t>ADNOC GAS PLC</t>
        </is>
      </c>
      <c r="C90" s="18" t="n">
        <v>101538.64</v>
      </c>
      <c r="D90" s="19">
        <f>C90/$C$118</f>
        <v/>
      </c>
      <c r="E90" s="20" t="inlineStr">
        <is>
          <t>BPJLW35</t>
        </is>
      </c>
    </row>
    <row r="91">
      <c r="A91" s="28" t="n">
        <v>23970</v>
      </c>
      <c r="B91" s="2" t="inlineStr">
        <is>
          <t>FOSCHINI GROUP LTD/THE COMMON STOCK ZAR 1.25</t>
        </is>
      </c>
      <c r="C91" s="18" t="n">
        <v>99288.10000000001</v>
      </c>
      <c r="D91" s="19">
        <f>C91/$C$118</f>
        <v/>
      </c>
      <c r="E91" s="20" t="inlineStr">
        <is>
          <t>6349688</t>
        </is>
      </c>
    </row>
    <row r="92">
      <c r="A92" s="28" t="n">
        <v>38152</v>
      </c>
      <c r="B92" s="2" t="inlineStr">
        <is>
          <t>TRUWORTHS INTERNATIONAL LTD COMMON STOCK ZAR 0.015</t>
        </is>
      </c>
      <c r="C92" s="18" t="n">
        <v>92729.11</v>
      </c>
      <c r="D92" s="19">
        <f>C92/$C$118</f>
        <v/>
      </c>
      <c r="E92" s="20" t="inlineStr">
        <is>
          <t>6113485</t>
        </is>
      </c>
    </row>
    <row r="93">
      <c r="A93" s="28" t="n">
        <v>7713</v>
      </c>
      <c r="B93" s="2" t="inlineStr">
        <is>
          <t>HELLENIC TELECOMMUNICATIONS ORGANIZATION SA COMMON STOCK EUR 2.83</t>
        </is>
      </c>
      <c r="C93" s="18" t="n">
        <v>91290.19</v>
      </c>
      <c r="D93" s="19">
        <f>C93/$C$118</f>
        <v/>
      </c>
      <c r="E93" s="20" t="inlineStr">
        <is>
          <t>5051605</t>
        </is>
      </c>
    </row>
    <row r="94">
      <c r="A94" s="28" t="n">
        <v>20379</v>
      </c>
      <c r="B94" s="2" t="inlineStr">
        <is>
          <t>MOTUS HOLDINGS LTD COMMON STOCK ZAR</t>
        </is>
      </c>
      <c r="C94" s="18" t="n">
        <v>90107.98</v>
      </c>
      <c r="D94" s="19">
        <f>C94/$C$118</f>
        <v/>
      </c>
      <c r="E94" s="20" t="inlineStr">
        <is>
          <t>BDRN3H0</t>
        </is>
      </c>
    </row>
    <row r="95">
      <c r="A95" s="28" t="n">
        <v>6332</v>
      </c>
      <c r="B95" s="2" t="inlineStr">
        <is>
          <t>CLICKS GROUP LTD COMMON STOCK ZAR 1</t>
        </is>
      </c>
      <c r="C95" s="18" t="n">
        <v>74216.81</v>
      </c>
      <c r="D95" s="19">
        <f>C95/$C$118</f>
        <v/>
      </c>
      <c r="E95" s="20" t="inlineStr">
        <is>
          <t>6105578</t>
        </is>
      </c>
    </row>
    <row r="96">
      <c r="A96" s="28" t="n">
        <v>3657350</v>
      </c>
      <c r="B96" s="2" t="inlineStr">
        <is>
          <t>NOVOLIPETSK STEEL PJSC COMMON STOCK RUB</t>
        </is>
      </c>
      <c r="C96" s="18" t="n">
        <v>71378.96000000001</v>
      </c>
      <c r="D96" s="19">
        <f>C96/$C$118</f>
        <v/>
      </c>
      <c r="E96" s="20" t="inlineStr">
        <is>
          <t>2H7675S</t>
        </is>
      </c>
    </row>
    <row r="97">
      <c r="A97" s="28" t="n">
        <v>3244</v>
      </c>
      <c r="B97" s="2" t="inlineStr">
        <is>
          <t>TEN SQUARE GAMES SA COMMON STOCK PLN 0.1</t>
        </is>
      </c>
      <c r="C97" s="18" t="n">
        <v>56516.02</v>
      </c>
      <c r="D97" s="19">
        <f>C97/$C$118</f>
        <v/>
      </c>
      <c r="E97" s="20" t="inlineStr">
        <is>
          <t>BFZCQ74</t>
        </is>
      </c>
    </row>
    <row r="98">
      <c r="A98" s="28" t="n">
        <v>180877</v>
      </c>
      <c r="B98" s="2" t="inlineStr">
        <is>
          <t>MAGNIT PJSC COMMON STOCK RUB 0.01</t>
        </is>
      </c>
      <c r="C98" s="18" t="n">
        <v>54807.48</v>
      </c>
      <c r="D98" s="19">
        <f>C98/$C$118</f>
        <v/>
      </c>
      <c r="E98" s="20" t="inlineStr">
        <is>
          <t>0H5813S</t>
        </is>
      </c>
    </row>
    <row r="99">
      <c r="A99" s="28" t="n">
        <v>1265335</v>
      </c>
      <c r="B99" s="2" t="inlineStr">
        <is>
          <t>GAZPROM NEFT PJSC COMMON STOCK RUB</t>
        </is>
      </c>
      <c r="C99" s="18" t="n">
        <v>49527.76</v>
      </c>
      <c r="D99" s="19">
        <f>C99/$C$118</f>
        <v/>
      </c>
      <c r="E99" s="20" t="inlineStr">
        <is>
          <t>0H5803S</t>
        </is>
      </c>
    </row>
    <row r="100">
      <c r="A100" s="28" t="n">
        <v>730066</v>
      </c>
      <c r="B100" s="2" t="inlineStr">
        <is>
          <t>TATNEFT PJSC COMMON STOCK RUB</t>
        </is>
      </c>
      <c r="C100" s="18" t="n">
        <v>26785.44</v>
      </c>
      <c r="D100" s="19">
        <f>C100/$C$118</f>
        <v/>
      </c>
      <c r="E100" s="20" t="inlineStr">
        <is>
          <t>0H5822S</t>
        </is>
      </c>
    </row>
    <row r="101">
      <c r="A101" s="28" t="n">
        <v>571359</v>
      </c>
      <c r="B101" s="2" t="inlineStr">
        <is>
          <t>TATNEFT PJSC PREFERENCE RUB 1</t>
        </is>
      </c>
      <c r="C101" s="18" t="n">
        <v>18563.89</v>
      </c>
      <c r="D101" s="19">
        <f>C101/$C$118</f>
        <v/>
      </c>
      <c r="E101" s="20" t="inlineStr">
        <is>
          <t>0H5816S</t>
        </is>
      </c>
    </row>
    <row r="102" customFormat="1" s="35">
      <c r="A102" s="30" t="n"/>
      <c r="B102" s="27" t="inlineStr">
        <is>
          <t>Subtotal</t>
        </is>
      </c>
      <c r="C102" s="29">
        <f>+C101+C100</f>
        <v/>
      </c>
      <c r="D102" s="31">
        <f>C102/$C$118</f>
        <v/>
      </c>
      <c r="E102" s="34" t="n"/>
      <c r="G102" s="3" t="n"/>
    </row>
    <row r="103">
      <c r="A103" s="28" t="n">
        <v>6156103</v>
      </c>
      <c r="B103" s="2" t="inlineStr">
        <is>
          <t>ROSTELECOM PJSC COMMON STOCK RUB</t>
        </is>
      </c>
      <c r="C103" s="18" t="n">
        <v>42722.74</v>
      </c>
      <c r="D103" s="19">
        <f>C103/$C$118</f>
        <v/>
      </c>
      <c r="E103" s="20" t="inlineStr">
        <is>
          <t>0H5802S</t>
        </is>
      </c>
    </row>
    <row r="104">
      <c r="A104" s="28" t="n">
        <v>21233273216</v>
      </c>
      <c r="B104" s="2" t="inlineStr">
        <is>
          <t>VTB BANK PJSC COMMON STOCK RUB 0.01</t>
        </is>
      </c>
      <c r="C104" s="18" t="n">
        <v>40871.2</v>
      </c>
      <c r="D104" s="19">
        <f>C104/$C$118</f>
        <v/>
      </c>
      <c r="E104" s="20" t="inlineStr">
        <is>
          <t>0H5837S</t>
        </is>
      </c>
    </row>
    <row r="105">
      <c r="A105" s="28" t="n">
        <v>29773</v>
      </c>
      <c r="B105" s="2" t="inlineStr">
        <is>
          <t>POLYUS PJSC COMMON STOCK RUB</t>
        </is>
      </c>
      <c r="C105" s="18" t="n">
        <v>34473.55</v>
      </c>
      <c r="D105" s="19">
        <f>C105/$C$118</f>
        <v/>
      </c>
      <c r="E105" s="20" t="inlineStr">
        <is>
          <t>2H7182S</t>
        </is>
      </c>
    </row>
    <row r="106">
      <c r="A106" s="28" t="n">
        <v>4003270</v>
      </c>
      <c r="B106" s="2" t="inlineStr">
        <is>
          <t>DETSKY MIR PJSC COMMON STOCK RUB 0.0004</t>
        </is>
      </c>
      <c r="C106" s="18" t="n">
        <v>33535.91</v>
      </c>
      <c r="D106" s="19">
        <f>C106/$C$118</f>
        <v/>
      </c>
      <c r="E106" s="20" t="inlineStr">
        <is>
          <t>0H5850S</t>
        </is>
      </c>
    </row>
    <row r="107">
      <c r="A107" s="28" t="n">
        <v>169819</v>
      </c>
      <c r="B107" s="2" t="inlineStr">
        <is>
          <t>YANDEX NV COMMON STOCK USD 0.01</t>
        </is>
      </c>
      <c r="C107" s="18" t="n">
        <v>26012.96</v>
      </c>
      <c r="D107" s="19">
        <f>C107/$C$118</f>
        <v/>
      </c>
      <c r="E107" s="20" t="inlineStr">
        <is>
          <t>0H6379S</t>
        </is>
      </c>
    </row>
    <row r="108">
      <c r="A108" s="28" t="n">
        <v>432517</v>
      </c>
      <c r="B108" s="2" t="inlineStr">
        <is>
          <t>MD MEDICAL GROUP INVESTMENTS PLC GDR USD</t>
        </is>
      </c>
      <c r="C108" s="18" t="n">
        <v>19938.91</v>
      </c>
      <c r="D108" s="19">
        <f>C108/$C$118</f>
        <v/>
      </c>
      <c r="E108" s="20" t="inlineStr">
        <is>
          <t>0H6371S</t>
        </is>
      </c>
    </row>
    <row r="109">
      <c r="A109" s="28" t="n">
        <v>12313057</v>
      </c>
      <c r="B109" s="2" t="inlineStr">
        <is>
          <t>SISTEMA PJSFC COMMON STOCK RUB 0.09</t>
        </is>
      </c>
      <c r="C109" s="18" t="n">
        <v>14986.49</v>
      </c>
      <c r="D109" s="19">
        <f>C109/$C$118</f>
        <v/>
      </c>
      <c r="E109" s="20" t="inlineStr">
        <is>
          <t>0H5808S</t>
        </is>
      </c>
    </row>
    <row r="110">
      <c r="A110" s="28" t="n">
        <v>577525</v>
      </c>
      <c r="B110" s="2" t="inlineStr">
        <is>
          <t>FIX PRICE GROUP LTD GDR</t>
        </is>
      </c>
      <c r="C110" s="18" t="n">
        <v>4390.59</v>
      </c>
      <c r="D110" s="19">
        <f>C110/$C$118</f>
        <v/>
      </c>
      <c r="E110" s="20" t="inlineStr">
        <is>
          <t>0H6372S</t>
        </is>
      </c>
    </row>
    <row r="111">
      <c r="A111" s="28" t="n">
        <v>75226</v>
      </c>
      <c r="B111" s="2" t="inlineStr">
        <is>
          <t>TCS GROUP HOLDING PLC GDR</t>
        </is>
      </c>
      <c r="C111" s="18" t="n">
        <v>1942.63</v>
      </c>
      <c r="D111" s="19">
        <f>C111/$C$118</f>
        <v/>
      </c>
      <c r="E111" s="20" t="inlineStr">
        <is>
          <t>0H6380S</t>
        </is>
      </c>
    </row>
    <row r="112">
      <c r="A112" s="28" t="n">
        <v>275182</v>
      </c>
      <c r="B112" s="2" t="inlineStr">
        <is>
          <t>X 5 RETAIL GROUP NV-REGS GDR</t>
        </is>
      </c>
      <c r="C112" s="18" t="n">
        <v>1182.68</v>
      </c>
      <c r="D112" s="19">
        <f>C112/$C$118</f>
        <v/>
      </c>
      <c r="E112" s="20" t="inlineStr">
        <is>
          <t>0H6365S</t>
        </is>
      </c>
    </row>
    <row r="113">
      <c r="A113" s="28" t="n">
        <v>552780</v>
      </c>
      <c r="B113" s="2" t="inlineStr">
        <is>
          <t>SEVERSTAL PAO GDR USD</t>
        </is>
      </c>
      <c r="C113" s="18" t="n">
        <v>268.69</v>
      </c>
      <c r="D113" s="19">
        <f>C113/$C$118</f>
        <v/>
      </c>
      <c r="E113" s="20" t="inlineStr">
        <is>
          <t>0H6368S</t>
        </is>
      </c>
    </row>
    <row r="114">
      <c r="A114" s="28" t="n"/>
      <c r="C114" s="18" t="n"/>
      <c r="D114" s="19" t="n"/>
      <c r="E114" s="20" t="n"/>
    </row>
    <row r="115">
      <c r="A115" s="21" t="n"/>
      <c r="B115" s="21" t="inlineStr">
        <is>
          <t>Total portfolio</t>
        </is>
      </c>
      <c r="C115" s="39" t="n">
        <v>18568859.03000001</v>
      </c>
      <c r="D115" s="19">
        <f>C115/$C$118</f>
        <v/>
      </c>
    </row>
    <row r="116">
      <c r="B116" s="21" t="inlineStr">
        <is>
          <t>Net Current Assets</t>
        </is>
      </c>
      <c r="C116" s="39" t="n">
        <v>44086.83000000007</v>
      </c>
      <c r="D116" s="19">
        <f>C116/$C$118</f>
        <v/>
      </c>
    </row>
    <row r="117">
      <c r="B117" s="3" t="n"/>
      <c r="C117" s="39" t="n"/>
      <c r="D117" s="32" t="n"/>
    </row>
    <row r="118">
      <c r="B118" s="21" t="inlineStr">
        <is>
          <t>Total Assets</t>
        </is>
      </c>
      <c r="C118" s="22">
        <f>C115+C116</f>
        <v/>
      </c>
      <c r="D118" s="19">
        <f>C118/$C$118</f>
        <v/>
      </c>
    </row>
    <row r="119">
      <c r="A119"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20"/>
    <row r="121"/>
    <row r="122"/>
  </sheetData>
  <mergeCells count="2">
    <mergeCell ref="A119:E122"/>
    <mergeCell ref="A3:E6"/>
  </mergeCells>
  <pageMargins left="0.7" right="0.7" top="0.75" bottom="0.75" header="0.3" footer="0.3"/>
  <pageSetup orientation="portrait"/>
</worksheet>
</file>

<file path=xl/worksheets/sheet33.xml><?xml version="1.0" encoding="utf-8"?>
<worksheet xmlns="http://schemas.openxmlformats.org/spreadsheetml/2006/main">
  <sheetPr>
    <outlinePr summaryBelow="1" summaryRight="1"/>
    <pageSetUpPr/>
  </sheetPr>
  <dimension ref="A1:N118"/>
  <sheetViews>
    <sheetView workbookViewId="0">
      <selection activeCell="B51" sqref="B51:B64"/>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28th February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2029792.33</v>
      </c>
      <c r="B12" s="2" t="inlineStr">
        <is>
          <t>JPM GBP LIQUIDITY LVNAV X (DIST.)</t>
        </is>
      </c>
      <c r="C12" s="18" t="n">
        <v>2029792.33</v>
      </c>
      <c r="D12" s="19">
        <f>C12/$C$114</f>
        <v/>
      </c>
      <c r="E12" s="38" t="inlineStr">
        <is>
          <t>5819115</t>
        </is>
      </c>
      <c r="H12" s="40" t="n"/>
    </row>
    <row r="13">
      <c r="A13" s="28" t="n">
        <v>47835</v>
      </c>
      <c r="B13" s="2" t="inlineStr">
        <is>
          <t>AL RAJHI BANK COMMON STOCK SAR 10</t>
        </is>
      </c>
      <c r="C13" s="18" t="n">
        <v>739139.21</v>
      </c>
      <c r="D13" s="19">
        <f>C13/$C$114</f>
        <v/>
      </c>
      <c r="E13" s="38" t="inlineStr">
        <is>
          <t>B12LZH9</t>
        </is>
      </c>
      <c r="H13" s="40" t="n"/>
    </row>
    <row r="14">
      <c r="A14" s="28" t="n">
        <v>4185</v>
      </c>
      <c r="B14" s="2" t="inlineStr">
        <is>
          <t>NASPERS LTD COMMON STOCK ZAR 2</t>
        </is>
      </c>
      <c r="C14" s="18" t="n">
        <v>613362.66</v>
      </c>
      <c r="D14" s="19">
        <f>C14/$C$114</f>
        <v/>
      </c>
      <c r="E14" s="20" t="inlineStr">
        <is>
          <t>6622691</t>
        </is>
      </c>
      <c r="H14" s="40" t="n"/>
    </row>
    <row r="15">
      <c r="A15" s="41" t="n">
        <v>30265</v>
      </c>
      <c r="B15" s="2" t="inlineStr">
        <is>
          <t>SAUDI BASIC INDUSTRIES CORP COMMON STOCK SAR 10</t>
        </is>
      </c>
      <c r="C15" s="33" t="n">
        <v>588892.86</v>
      </c>
      <c r="D15" s="19">
        <f>C15/$C$114</f>
        <v/>
      </c>
      <c r="E15" s="20" t="inlineStr">
        <is>
          <t>B1324D0</t>
        </is>
      </c>
      <c r="H15" s="40" t="n"/>
    </row>
    <row r="16">
      <c r="A16" s="28" t="n">
        <v>145911</v>
      </c>
      <c r="B16" s="2" t="inlineStr">
        <is>
          <t>QATAR NATIONAL BANK QPSC COMMON STOCK QAR 1</t>
        </is>
      </c>
      <c r="C16" s="18" t="n">
        <v>548711.22</v>
      </c>
      <c r="D16" s="19">
        <f>C16/$C$114</f>
        <v/>
      </c>
      <c r="E16" s="38" t="inlineStr">
        <is>
          <t>6148197</t>
        </is>
      </c>
      <c r="H16" s="40" t="n"/>
    </row>
    <row r="17">
      <c r="A17" s="28" t="n">
        <v>76757</v>
      </c>
      <c r="B17" s="2" t="inlineStr">
        <is>
          <t>SAUDI ARABIAN OIL CO COMMON STOCK SAR</t>
        </is>
      </c>
      <c r="C17" s="18" t="n">
        <v>534730.62</v>
      </c>
      <c r="D17" s="19">
        <f>C17/$C$114</f>
        <v/>
      </c>
      <c r="E17" s="38" t="inlineStr">
        <is>
          <t>BJTM270</t>
        </is>
      </c>
      <c r="H17" s="40" t="n"/>
    </row>
    <row r="18">
      <c r="A18" s="41" t="n">
        <v>149253</v>
      </c>
      <c r="B18" s="2" t="inlineStr">
        <is>
          <t>INDUSTRIES QATAR QSC COMMON STOCK QAR 1</t>
        </is>
      </c>
      <c r="C18" s="33" t="n">
        <v>470892.18</v>
      </c>
      <c r="D18" s="19">
        <f>C18/$C$114</f>
        <v/>
      </c>
      <c r="E18" s="20" t="inlineStr">
        <is>
          <t>6673570</t>
        </is>
      </c>
      <c r="H18" s="40" t="n"/>
    </row>
    <row r="19">
      <c r="A19" s="28" t="n">
        <v>159093</v>
      </c>
      <c r="B19" s="2" t="inlineStr">
        <is>
          <t>FIRSTRAND LTD COMMON STOCK ZAR 1</t>
        </is>
      </c>
      <c r="C19" s="18" t="n">
        <v>469268.29</v>
      </c>
      <c r="D19" s="19">
        <f>C19/$C$114</f>
        <v/>
      </c>
      <c r="E19" s="20" t="inlineStr">
        <is>
          <t>6606996</t>
        </is>
      </c>
      <c r="H19" s="40" t="n"/>
    </row>
    <row r="20">
      <c r="A20" s="28" t="n">
        <v>37122</v>
      </c>
      <c r="B20" s="2" t="inlineStr">
        <is>
          <t>THE SAUDI NATIONAL BANK</t>
        </is>
      </c>
      <c r="C20" s="18" t="n">
        <v>385670.76</v>
      </c>
      <c r="D20" s="19">
        <f>C20/$C$114</f>
        <v/>
      </c>
      <c r="E20" s="20" t="inlineStr">
        <is>
          <t>BSHYYN1</t>
        </is>
      </c>
      <c r="H20" s="40" t="n"/>
    </row>
    <row r="21">
      <c r="A21" s="28" t="n">
        <v>45012</v>
      </c>
      <c r="B21" s="2" t="inlineStr">
        <is>
          <t>STANDARD BANK GROUP LTD COMMON STOCK ZAR 10</t>
        </is>
      </c>
      <c r="C21" s="18" t="n">
        <v>371815.48</v>
      </c>
      <c r="D21" s="19">
        <f>C21/$C$114</f>
        <v/>
      </c>
      <c r="E21" s="20" t="inlineStr">
        <is>
          <t>B030GJ7</t>
        </is>
      </c>
      <c r="H21" s="40" t="n"/>
    </row>
    <row r="22">
      <c r="A22" s="28" t="n">
        <v>362649</v>
      </c>
      <c r="B22" s="2" t="inlineStr">
        <is>
          <t>LUKOIL PJSC COMMON STOCK RUB 0.025 RUB</t>
        </is>
      </c>
      <c r="C22" s="18" t="n">
        <v>205720.39</v>
      </c>
      <c r="D22" s="19">
        <f>C22/$C$114</f>
        <v/>
      </c>
      <c r="E22" s="20" t="inlineStr">
        <is>
          <t>2H6442S</t>
        </is>
      </c>
      <c r="H22" s="40" t="n"/>
    </row>
    <row r="23">
      <c r="A23" s="28" t="n">
        <v>262047</v>
      </c>
      <c r="B23" s="2" t="inlineStr">
        <is>
          <t>LUKOIL PJSC COMMON STOCK RUB</t>
        </is>
      </c>
      <c r="C23" s="18" t="n">
        <v>134977.38</v>
      </c>
      <c r="D23" s="19">
        <f>C23/$C$114</f>
        <v/>
      </c>
      <c r="E23" s="20" t="inlineStr">
        <is>
          <t>0H5797S</t>
        </is>
      </c>
      <c r="H23" s="40" t="n"/>
    </row>
    <row r="24" customFormat="1" s="35">
      <c r="A24" s="30" t="n"/>
      <c r="B24" s="27" t="inlineStr">
        <is>
          <t>Subtotal</t>
        </is>
      </c>
      <c r="C24" s="29">
        <f>+C23+C22</f>
        <v/>
      </c>
      <c r="D24" s="31">
        <f>C24/$C$114</f>
        <v/>
      </c>
      <c r="E24" s="34" t="n"/>
      <c r="G24" s="3" t="n"/>
    </row>
    <row r="25">
      <c r="A25" s="30" t="n">
        <v>18315</v>
      </c>
      <c r="B25" s="2" t="inlineStr">
        <is>
          <t>BID CORP LTD COMMON STOCK ZAR</t>
        </is>
      </c>
      <c r="C25" s="33" t="n">
        <v>331298.61</v>
      </c>
      <c r="D25" s="19">
        <f>C25/$C$114</f>
        <v/>
      </c>
      <c r="E25" s="38" t="inlineStr">
        <is>
          <t>BZBFKT7</t>
        </is>
      </c>
      <c r="H25" s="40" t="n"/>
    </row>
    <row r="26">
      <c r="A26" s="28" t="n">
        <v>35367</v>
      </c>
      <c r="B26" s="2" t="inlineStr">
        <is>
          <t>ABSA GROUP LTD</t>
        </is>
      </c>
      <c r="C26" s="18" t="n">
        <v>315825.19</v>
      </c>
      <c r="D26" s="19">
        <f>C26/$C$114</f>
        <v/>
      </c>
      <c r="E26" s="20" t="inlineStr">
        <is>
          <t>BFX05H3</t>
        </is>
      </c>
      <c r="H26" s="40" t="n"/>
    </row>
    <row r="27">
      <c r="A27" s="28" t="n">
        <v>40325</v>
      </c>
      <c r="B27" s="2" t="inlineStr">
        <is>
          <t>SAUDI TELECOM CO COMMON STOCK</t>
        </is>
      </c>
      <c r="C27" s="18" t="n">
        <v>311547.91</v>
      </c>
      <c r="D27" s="19">
        <f>C27/$C$114</f>
        <v/>
      </c>
      <c r="E27" s="20" t="inlineStr">
        <is>
          <t>B12M7Q5</t>
        </is>
      </c>
      <c r="H27" s="40" t="n"/>
    </row>
    <row r="28">
      <c r="A28" s="28" t="n">
        <v>14056</v>
      </c>
      <c r="B28" s="2" t="inlineStr">
        <is>
          <t>MOTOR OIL HELLAS CORINTH REFINERIES SA COMMON STOCK EUR 0.75</t>
        </is>
      </c>
      <c r="C28" s="18" t="n">
        <v>307571.62</v>
      </c>
      <c r="D28" s="19">
        <f>C28/$C$114</f>
        <v/>
      </c>
      <c r="E28" s="20" t="inlineStr">
        <is>
          <t>5996234</t>
        </is>
      </c>
      <c r="H28" s="40" t="n"/>
    </row>
    <row r="29">
      <c r="A29" s="28" t="n">
        <v>244040</v>
      </c>
      <c r="B29" s="2" t="inlineStr">
        <is>
          <t>EMAAR PROPERTIES PJSC COMMON STOCK AED 1</t>
        </is>
      </c>
      <c r="C29" s="18" t="n">
        <v>304052.79</v>
      </c>
      <c r="D29" s="19">
        <f>C29/$C$114</f>
        <v/>
      </c>
      <c r="E29" s="20" t="inlineStr">
        <is>
          <t>B01RM25</t>
        </is>
      </c>
      <c r="H29" s="40" t="n"/>
    </row>
    <row r="30">
      <c r="A30" s="30" t="n">
        <v>30074</v>
      </c>
      <c r="B30" s="2" t="inlineStr">
        <is>
          <t>SHOPRITE HOLDINGS LTD COMMON STOCK ZAR 113.4</t>
        </is>
      </c>
      <c r="C30" s="18" t="n">
        <v>301159.61</v>
      </c>
      <c r="D30" s="19">
        <f>C30/$C$114</f>
        <v/>
      </c>
      <c r="E30" s="20" t="inlineStr">
        <is>
          <t>6801575</t>
        </is>
      </c>
      <c r="H30" s="40" t="n"/>
    </row>
    <row r="31">
      <c r="A31" s="28" t="n">
        <v>95185</v>
      </c>
      <c r="B31" s="2" t="inlineStr">
        <is>
          <t>SANLAM LTD COMMON STOCK ZAR 1</t>
        </is>
      </c>
      <c r="C31" s="18" t="n">
        <v>255834.13</v>
      </c>
      <c r="D31" s="19">
        <f>C31/$C$114</f>
        <v/>
      </c>
      <c r="E31" s="38" t="inlineStr">
        <is>
          <t>B0L6750</t>
        </is>
      </c>
      <c r="H31" s="40" t="n"/>
    </row>
    <row r="32">
      <c r="A32" s="28" t="n">
        <v>8567</v>
      </c>
      <c r="B32" s="2" t="inlineStr">
        <is>
          <t>SABIC AGRI-NUTRIENTS CO COMMON STOCK SAR 10</t>
        </is>
      </c>
      <c r="C32" s="18" t="n">
        <v>251552.1</v>
      </c>
      <c r="D32" s="19">
        <f>C32/$C$114</f>
        <v/>
      </c>
      <c r="E32" s="38" t="inlineStr">
        <is>
          <t>B1323K0</t>
        </is>
      </c>
      <c r="H32" s="40" t="n"/>
    </row>
    <row r="33">
      <c r="A33" s="28" t="n">
        <v>226609</v>
      </c>
      <c r="B33" s="2" t="inlineStr">
        <is>
          <t>ALDAR PROPERTIES PJSC COMMON STOCK AED 1</t>
        </is>
      </c>
      <c r="C33" s="18" t="n">
        <v>238507.05</v>
      </c>
      <c r="D33" s="19">
        <f>C33/$C$114</f>
        <v/>
      </c>
      <c r="E33" s="38" t="inlineStr">
        <is>
          <t>B0LX3Y2</t>
        </is>
      </c>
      <c r="H33" s="40" t="n"/>
    </row>
    <row r="34">
      <c r="A34" s="28" t="n">
        <v>8860909</v>
      </c>
      <c r="B34" s="2" t="inlineStr">
        <is>
          <t>GAZPROM PJSC COMMON STOCK RUB</t>
        </is>
      </c>
      <c r="C34" s="18" t="n">
        <v>210782.27</v>
      </c>
      <c r="D34" s="19">
        <f>C34/$C$114</f>
        <v/>
      </c>
      <c r="E34" s="38" t="inlineStr">
        <is>
          <t>0H5796S</t>
        </is>
      </c>
      <c r="H34" s="40" t="n"/>
    </row>
    <row r="35">
      <c r="A35" s="28" t="n">
        <v>5365084</v>
      </c>
      <c r="B35" s="2" t="inlineStr">
        <is>
          <t>GAZPROM PJSC ADR</t>
        </is>
      </c>
      <c r="C35" s="18" t="n">
        <v>25765.17</v>
      </c>
      <c r="D35" s="19">
        <f>C35/$C$114</f>
        <v/>
      </c>
      <c r="E35" s="20" t="inlineStr">
        <is>
          <t>0H6364S</t>
        </is>
      </c>
      <c r="H35" s="40" t="n"/>
    </row>
    <row r="36" customFormat="1" s="35">
      <c r="A36" s="30" t="n"/>
      <c r="B36" s="27" t="inlineStr">
        <is>
          <t>Subtotal</t>
        </is>
      </c>
      <c r="C36" s="29">
        <f>+C35+C34</f>
        <v/>
      </c>
      <c r="D36" s="31">
        <f>C36/$C$114</f>
        <v/>
      </c>
      <c r="E36" s="34" t="n"/>
      <c r="G36" s="3" t="n"/>
    </row>
    <row r="37">
      <c r="A37" s="28" t="n">
        <v>36677</v>
      </c>
      <c r="B37" s="2" t="inlineStr">
        <is>
          <t>ALINMA BANK COMMON STOCK SAR 10</t>
        </is>
      </c>
      <c r="C37" s="18" t="n">
        <v>235732.79</v>
      </c>
      <c r="D37" s="19">
        <f>C37/$C$114</f>
        <v/>
      </c>
      <c r="E37" s="20" t="inlineStr">
        <is>
          <t>B39NWT3</t>
        </is>
      </c>
      <c r="H37" s="40" t="n"/>
    </row>
    <row r="38">
      <c r="A38" s="28" t="n">
        <v>40456</v>
      </c>
      <c r="B38" s="2" t="inlineStr">
        <is>
          <t>VODACOM GROUP LTD COMMON STOCK ZAR</t>
        </is>
      </c>
      <c r="C38" s="18" t="n">
        <v>230670.09</v>
      </c>
      <c r="D38" s="19">
        <f>C38/$C$114</f>
        <v/>
      </c>
      <c r="E38" s="20" t="inlineStr">
        <is>
          <t>B65B4D0</t>
        </is>
      </c>
      <c r="H38" s="40" t="n"/>
      <c r="L38" s="24" t="n"/>
      <c r="N38" s="25" t="n"/>
    </row>
    <row r="39">
      <c r="A39" s="30" t="n">
        <v>309743</v>
      </c>
      <c r="B39" s="2" t="inlineStr">
        <is>
          <t>ADNOC DRILLING CO PJSC COMMON STOCK AED</t>
        </is>
      </c>
      <c r="C39" s="18" t="n">
        <v>229179.42</v>
      </c>
      <c r="D39" s="19">
        <f>C39/$C$114</f>
        <v/>
      </c>
      <c r="E39" s="20" t="inlineStr">
        <is>
          <t>BN12D39</t>
        </is>
      </c>
      <c r="H39" s="40" t="n"/>
    </row>
    <row r="40">
      <c r="A40" s="28" t="n">
        <v>17710</v>
      </c>
      <c r="B40" s="2" t="inlineStr">
        <is>
          <t>OPAP SA COMMON STOCK EUR 0.3</t>
        </is>
      </c>
      <c r="C40" s="18" t="n">
        <v>227738.63</v>
      </c>
      <c r="D40" s="19">
        <f>C40/$C$114</f>
        <v/>
      </c>
      <c r="E40" s="20" t="inlineStr">
        <is>
          <t>7107250</t>
        </is>
      </c>
      <c r="H40" s="40" t="n"/>
    </row>
    <row r="41">
      <c r="A41" s="28" t="n">
        <v>39182</v>
      </c>
      <c r="B41" s="2" t="inlineStr">
        <is>
          <t>EMIRATES TELECOMMUNICATIONS GROUP CO PJSC COMMON STOCK AED 1</t>
        </is>
      </c>
      <c r="C41" s="18" t="n">
        <v>223467.34</v>
      </c>
      <c r="D41" s="19">
        <f>C41/$C$114</f>
        <v/>
      </c>
      <c r="E41" s="20" t="inlineStr">
        <is>
          <t>6322173</t>
        </is>
      </c>
      <c r="H41" s="40" t="n"/>
    </row>
    <row r="42">
      <c r="A42" s="28" t="n">
        <v>117633</v>
      </c>
      <c r="B42" s="2" t="inlineStr">
        <is>
          <t>ABU DHABI COMMERCIAL BANK PJSC COMMON STOCK AED 1</t>
        </is>
      </c>
      <c r="C42" s="18" t="n">
        <v>221692.71</v>
      </c>
      <c r="D42" s="19">
        <f>C42/$C$114</f>
        <v/>
      </c>
      <c r="E42" s="20" t="inlineStr">
        <is>
          <t>6545464</t>
        </is>
      </c>
      <c r="H42" s="40" t="n"/>
    </row>
    <row r="43">
      <c r="A43" s="28" t="n">
        <v>38596</v>
      </c>
      <c r="B43" s="2" t="inlineStr">
        <is>
          <t>RIYAD BANK COMMON STOCK SAR 10</t>
        </is>
      </c>
      <c r="C43" s="18" t="n">
        <v>221306.09</v>
      </c>
      <c r="D43" s="19">
        <f>C43/$C$114</f>
        <v/>
      </c>
      <c r="E43" s="20" t="inlineStr">
        <is>
          <t>B12LZW4</t>
        </is>
      </c>
      <c r="H43" s="40" t="n"/>
    </row>
    <row r="44">
      <c r="A44" s="30" t="n">
        <v>14455036</v>
      </c>
      <c r="B44" s="2" t="inlineStr">
        <is>
          <t>SBERBANK OF RUSSIA PJSC PREFERENCE RUB 3</t>
        </is>
      </c>
      <c r="C44" s="33" t="n">
        <v>189684.85</v>
      </c>
      <c r="D44" s="19">
        <f>C44/$C$114</f>
        <v/>
      </c>
      <c r="E44" s="20" t="inlineStr">
        <is>
          <t>0H5856S</t>
        </is>
      </c>
      <c r="H44" s="40" t="n"/>
    </row>
    <row r="45">
      <c r="A45" s="28" t="n">
        <v>2355925</v>
      </c>
      <c r="B45" s="2" t="inlineStr">
        <is>
          <t>SBERBANK OF RUSSIA PJSC</t>
        </is>
      </c>
      <c r="C45" s="18" t="n">
        <v>30691.97</v>
      </c>
      <c r="D45" s="19">
        <f>C45/$C$114</f>
        <v/>
      </c>
      <c r="E45" s="20" t="inlineStr">
        <is>
          <t>0H5855S</t>
        </is>
      </c>
      <c r="H45" s="40" t="n"/>
    </row>
    <row r="46" customFormat="1" s="35">
      <c r="A46" s="30" t="n"/>
      <c r="B46" s="27" t="inlineStr">
        <is>
          <t>Subtotal</t>
        </is>
      </c>
      <c r="C46" s="29">
        <f>+C45+C44</f>
        <v/>
      </c>
      <c r="D46" s="31">
        <f>C46/$C$114</f>
        <v/>
      </c>
      <c r="E46" s="34" t="n"/>
      <c r="G46" s="3" t="n"/>
    </row>
    <row r="47">
      <c r="A47" s="28" t="n">
        <v>28379</v>
      </c>
      <c r="B47" s="2" t="inlineStr">
        <is>
          <t>IMPALA PLATINUM HOLDINGS LTD COMMON STOCK ZAR 0</t>
        </is>
      </c>
      <c r="C47" s="18" t="n">
        <v>219007.33</v>
      </c>
      <c r="D47" s="19">
        <f>C47/$C$114</f>
        <v/>
      </c>
      <c r="E47" s="20" t="inlineStr">
        <is>
          <t>B1FFT76</t>
        </is>
      </c>
    </row>
    <row r="48">
      <c r="A48" s="28" t="n">
        <v>55575</v>
      </c>
      <c r="B48" s="2" t="inlineStr">
        <is>
          <t>AVI LTD COMMON STOCK ZAR 5</t>
        </is>
      </c>
      <c r="C48" s="18" t="n">
        <v>190360</v>
      </c>
      <c r="D48" s="19">
        <f>C48/$C$114</f>
        <v/>
      </c>
      <c r="E48" s="20" t="inlineStr">
        <is>
          <t>6040958</t>
        </is>
      </c>
    </row>
    <row r="49">
      <c r="A49" s="28" t="n">
        <v>1268490</v>
      </c>
      <c r="B49" s="2" t="inlineStr">
        <is>
          <t>NOVATEK PJSC COMMON STOCK RUB 0.1</t>
        </is>
      </c>
      <c r="C49" s="18" t="n">
        <v>177189.2</v>
      </c>
      <c r="D49" s="19">
        <f>C49/$C$114</f>
        <v/>
      </c>
      <c r="E49" s="20" t="inlineStr">
        <is>
          <t>2H6464S</t>
        </is>
      </c>
    </row>
    <row r="50">
      <c r="A50" s="28" t="n">
        <v>103572</v>
      </c>
      <c r="B50" s="2" t="inlineStr">
        <is>
          <t>NOVATEK PJSC COMMON STOCK RUB 0.1</t>
        </is>
      </c>
      <c r="C50" s="18" t="n">
        <v>13136.61</v>
      </c>
      <c r="D50" s="19">
        <f>C50/$C$114</f>
        <v/>
      </c>
      <c r="E50" s="20" t="inlineStr">
        <is>
          <t>0H5828S</t>
        </is>
      </c>
    </row>
    <row r="51" customFormat="1" s="35">
      <c r="A51" s="30" t="n"/>
      <c r="B51" s="27" t="inlineStr">
        <is>
          <t>Subtotal</t>
        </is>
      </c>
      <c r="C51" s="29">
        <f>+C50+C49</f>
        <v/>
      </c>
      <c r="D51" s="31">
        <f>C51/$C$114</f>
        <v/>
      </c>
      <c r="E51" s="34" t="n"/>
      <c r="G51" s="3" t="n"/>
    </row>
    <row r="52">
      <c r="A52" s="28" t="n">
        <v>99566</v>
      </c>
      <c r="B52" s="2" t="inlineStr">
        <is>
          <t>SIBANYE STILLWATER LTD COMMON STOCK ZAR</t>
        </is>
      </c>
      <c r="C52" s="18" t="n">
        <v>166219.67</v>
      </c>
      <c r="D52" s="19">
        <f>C52/$C$114</f>
        <v/>
      </c>
      <c r="E52" s="20" t="inlineStr">
        <is>
          <t>BL0L913</t>
        </is>
      </c>
    </row>
    <row r="53">
      <c r="A53" s="28" t="n">
        <v>19263</v>
      </c>
      <c r="B53" s="2" t="inlineStr">
        <is>
          <t>ETIHAD ETISALAT CO COMMON STOCK SAR 10</t>
        </is>
      </c>
      <c r="C53" s="18" t="n">
        <v>165784.54</v>
      </c>
      <c r="D53" s="19">
        <f>C53/$C$114</f>
        <v/>
      </c>
      <c r="E53" s="20" t="inlineStr">
        <is>
          <t>B12LR51</t>
        </is>
      </c>
    </row>
    <row r="54">
      <c r="A54" s="28" t="n">
        <v>4984</v>
      </c>
      <c r="B54" s="2" t="inlineStr">
        <is>
          <t>JARIR MARKETING CO COMMON STOCK SAR 10</t>
        </is>
      </c>
      <c r="C54" s="18" t="n">
        <v>162142.11</v>
      </c>
      <c r="D54" s="19">
        <f>C54/$C$114</f>
        <v/>
      </c>
      <c r="E54" s="20" t="inlineStr">
        <is>
          <t>B128FM5</t>
        </is>
      </c>
    </row>
    <row r="55">
      <c r="A55" s="28" t="n">
        <v>196322</v>
      </c>
      <c r="B55" s="2" t="inlineStr">
        <is>
          <t>QATAR GAS TRANSPORT CO LTD COMMON STOCK QAR 1</t>
        </is>
      </c>
      <c r="C55" s="18" t="n">
        <v>160971.34</v>
      </c>
      <c r="D55" s="19">
        <f>C55/$C$114</f>
        <v/>
      </c>
      <c r="E55" s="20" t="inlineStr">
        <is>
          <t>B0MLBC9</t>
        </is>
      </c>
    </row>
    <row r="56">
      <c r="A56" s="28" t="n">
        <v>300201</v>
      </c>
      <c r="B56" s="2" t="inlineStr">
        <is>
          <t>OLD MUTUAL LTD COMMON STOCK ZAR</t>
        </is>
      </c>
      <c r="C56" s="18" t="n">
        <v>160887.14</v>
      </c>
      <c r="D56" s="19">
        <f>C56/$C$114</f>
        <v/>
      </c>
      <c r="E56" s="20" t="inlineStr">
        <is>
          <t>BDVPYN5</t>
        </is>
      </c>
    </row>
    <row r="57">
      <c r="A57" s="28" t="n">
        <v>7955</v>
      </c>
      <c r="B57" s="2" t="inlineStr">
        <is>
          <t>LEEJAM SPORTS CO JSC COMMON STOCK SAR 10</t>
        </is>
      </c>
      <c r="C57" s="18" t="n">
        <v>160215.54</v>
      </c>
      <c r="D57" s="19">
        <f>C57/$C$114</f>
        <v/>
      </c>
      <c r="E57" s="20" t="inlineStr">
        <is>
          <t>BF12ZV5</t>
        </is>
      </c>
    </row>
    <row r="58">
      <c r="A58" s="28" t="n">
        <v>48489</v>
      </c>
      <c r="B58" s="2" t="inlineStr">
        <is>
          <t>STS HOLDING SA COMMON STOCK PLN</t>
        </is>
      </c>
      <c r="C58" s="18" t="n">
        <v>158868.61</v>
      </c>
      <c r="D58" s="19">
        <f>C58/$C$114</f>
        <v/>
      </c>
      <c r="E58" s="20" t="inlineStr">
        <is>
          <t>BMFCKF9</t>
        </is>
      </c>
    </row>
    <row r="59">
      <c r="A59" s="28" t="n">
        <v>6612</v>
      </c>
      <c r="B59" s="2" t="inlineStr">
        <is>
          <t>ARABIAN CONTRACTING SERVICES CO COMMON STOCK SAR</t>
        </is>
      </c>
      <c r="C59" s="18" t="n">
        <v>158345.27</v>
      </c>
      <c r="D59" s="19">
        <f>C59/$C$114</f>
        <v/>
      </c>
      <c r="E59" s="20" t="inlineStr">
        <is>
          <t>BP4DC81</t>
        </is>
      </c>
    </row>
    <row r="60">
      <c r="A60" s="28" t="n">
        <v>1891</v>
      </c>
      <c r="B60" s="2" t="inlineStr">
        <is>
          <t>ELM CO COMMON STOCK SAR 10</t>
        </is>
      </c>
      <c r="C60" s="18" t="n">
        <v>157668.47</v>
      </c>
      <c r="D60" s="19">
        <f>C60/$C$114</f>
        <v/>
      </c>
      <c r="E60" s="20" t="inlineStr">
        <is>
          <t>BNYDSH8</t>
        </is>
      </c>
    </row>
    <row r="61">
      <c r="A61" s="28" t="n">
        <v>5652</v>
      </c>
      <c r="B61" s="2" t="inlineStr">
        <is>
          <t>KOMERCNI BANKA AS COMMON STOCK CZK 100</t>
        </is>
      </c>
      <c r="C61" s="18" t="n">
        <v>157262.03</v>
      </c>
      <c r="D61" s="19">
        <f>C61/$C$114</f>
        <v/>
      </c>
      <c r="E61" s="20" t="inlineStr">
        <is>
          <t>4519449</t>
        </is>
      </c>
    </row>
    <row r="62">
      <c r="A62" s="28" t="n">
        <v>161563</v>
      </c>
      <c r="B62" s="2" t="inlineStr">
        <is>
          <t>ABU DHABI NATIONAL OIL CO FOR DISTRIBUTION PJSC COMMON STOCK AED 0.08</t>
        </is>
      </c>
      <c r="C62" s="18" t="n">
        <v>156238.69</v>
      </c>
      <c r="D62" s="19">
        <f>C62/$C$114</f>
        <v/>
      </c>
      <c r="E62" s="20" t="inlineStr">
        <is>
          <t>BYVGM64</t>
        </is>
      </c>
    </row>
    <row r="63">
      <c r="A63" s="28" t="n">
        <v>49360</v>
      </c>
      <c r="B63" s="2" t="inlineStr">
        <is>
          <t>FIRST ABU DHABI BANK PJSC COMMON STOCK AED 1</t>
        </is>
      </c>
      <c r="C63" s="18" t="n">
        <v>156076.92</v>
      </c>
      <c r="D63" s="19">
        <f>C63/$C$114</f>
        <v/>
      </c>
      <c r="E63" s="20" t="inlineStr">
        <is>
          <t>6624471</t>
        </is>
      </c>
    </row>
    <row r="64">
      <c r="A64" s="28" t="n">
        <v>13199</v>
      </c>
      <c r="B64" s="2" t="inlineStr">
        <is>
          <t>UNITED INTERNATIONAL TRANSPORTATION CO COMMON STOCK SAR 10</t>
        </is>
      </c>
      <c r="C64" s="18" t="n">
        <v>155721.71</v>
      </c>
      <c r="D64" s="19">
        <f>C64/$C$114</f>
        <v/>
      </c>
      <c r="E64" s="20" t="inlineStr">
        <is>
          <t>B2493D0</t>
        </is>
      </c>
    </row>
    <row r="65">
      <c r="A65" s="28" t="n">
        <v>292031</v>
      </c>
      <c r="B65" s="2" t="inlineStr">
        <is>
          <t>DUBAI ELECTRICITY &amp; WATER AU</t>
        </is>
      </c>
      <c r="C65" s="18" t="n">
        <v>155652.29</v>
      </c>
      <c r="D65" s="19">
        <f>C65/$C$114</f>
        <v/>
      </c>
      <c r="E65" s="20" t="inlineStr">
        <is>
          <t>BJLTVJ4</t>
        </is>
      </c>
    </row>
    <row r="66">
      <c r="A66" s="28" t="n">
        <v>9408</v>
      </c>
      <c r="B66" s="2" t="inlineStr">
        <is>
          <t>JUMBO SA COMMON STOCK EUR 0.88</t>
        </is>
      </c>
      <c r="C66" s="18" t="n">
        <v>155428.65</v>
      </c>
      <c r="D66" s="19">
        <f>C66/$C$114</f>
        <v/>
      </c>
      <c r="E66" s="20" t="inlineStr">
        <is>
          <t>7243530</t>
        </is>
      </c>
    </row>
    <row r="67">
      <c r="A67" s="28" t="n">
        <v>1672</v>
      </c>
      <c r="B67" s="2" t="inlineStr">
        <is>
          <t>GRUPA KETY SA COMMON STOCK PLN 2.5</t>
        </is>
      </c>
      <c r="C67" s="18" t="n">
        <v>154850.12</v>
      </c>
      <c r="D67" s="19">
        <f>C67/$C$114</f>
        <v/>
      </c>
      <c r="E67" s="20" t="inlineStr">
        <is>
          <t>5216385</t>
        </is>
      </c>
    </row>
    <row r="68">
      <c r="A68" s="28" t="n">
        <v>2526</v>
      </c>
      <c r="B68" s="2" t="inlineStr">
        <is>
          <t>KRUK SA COMMON STOCK PLN 1</t>
        </is>
      </c>
      <c r="C68" s="18" t="n">
        <v>154519.43</v>
      </c>
      <c r="D68" s="19">
        <f>C68/$C$114</f>
        <v/>
      </c>
      <c r="E68" s="20" t="inlineStr">
        <is>
          <t>B4PTLY0</t>
        </is>
      </c>
    </row>
    <row r="69">
      <c r="A69" s="28" t="n">
        <v>174489</v>
      </c>
      <c r="B69" s="2" t="inlineStr">
        <is>
          <t>FERTIGLOBE PLC COMMON STOCK USD</t>
        </is>
      </c>
      <c r="C69" s="18" t="n">
        <v>154219.33</v>
      </c>
      <c r="D69" s="19">
        <f>C69/$C$114</f>
        <v/>
      </c>
      <c r="E69" s="20" t="inlineStr">
        <is>
          <t>BMXCL70</t>
        </is>
      </c>
    </row>
    <row r="70">
      <c r="A70" s="28" t="n">
        <v>66726</v>
      </c>
      <c r="B70" s="2" t="inlineStr">
        <is>
          <t>ABU DHABI ISLAMIC BANK PJSC COMMON STOCK AED 1</t>
        </is>
      </c>
      <c r="C70" s="18" t="n">
        <v>153964.53</v>
      </c>
      <c r="D70" s="19">
        <f>C70/$C$114</f>
        <v/>
      </c>
      <c r="E70" s="20" t="inlineStr">
        <is>
          <t>6001728</t>
        </is>
      </c>
    </row>
    <row r="71">
      <c r="A71" s="28" t="n">
        <v>43841</v>
      </c>
      <c r="B71" s="2" t="inlineStr">
        <is>
          <t>BANCA TRANSILVANIA SA COMMON STOCK RON 1</t>
        </is>
      </c>
      <c r="C71" s="18" t="n">
        <v>153425.15</v>
      </c>
      <c r="D71" s="19">
        <f>C71/$C$114</f>
        <v/>
      </c>
      <c r="E71" s="20" t="inlineStr">
        <is>
          <t>5393307</t>
        </is>
      </c>
    </row>
    <row r="72">
      <c r="A72" s="28" t="n">
        <v>256601</v>
      </c>
      <c r="B72" s="2" t="inlineStr">
        <is>
          <t>SALIK CO PJSC COMMON STOCK AED 0.01</t>
        </is>
      </c>
      <c r="C72" s="18" t="n">
        <v>151772.23</v>
      </c>
      <c r="D72" s="19">
        <f>C72/$C$114</f>
        <v/>
      </c>
      <c r="E72" s="20" t="inlineStr">
        <is>
          <t>BJN5952</t>
        </is>
      </c>
    </row>
    <row r="73">
      <c r="A73" s="28" t="n">
        <v>43702</v>
      </c>
      <c r="B73" s="2" t="inlineStr">
        <is>
          <t>WOOLWORTHS HOLDINGS LTD/SOUTH AFRICA COMMON STOCK ZAR 0</t>
        </is>
      </c>
      <c r="C73" s="18" t="n">
        <v>151422.18</v>
      </c>
      <c r="D73" s="19">
        <f>C73/$C$114</f>
        <v/>
      </c>
      <c r="E73" s="20" t="inlineStr">
        <is>
          <t>B06KZ97</t>
        </is>
      </c>
    </row>
    <row r="74">
      <c r="A74" s="28" t="n">
        <v>14849</v>
      </c>
      <c r="B74" s="2" t="inlineStr">
        <is>
          <t>RIYADH CABLES GROUP CO COMMON STOCK SAR 10</t>
        </is>
      </c>
      <c r="C74" s="18" t="n">
        <v>150021.41</v>
      </c>
      <c r="D74" s="19">
        <f>C74/$C$114</f>
        <v/>
      </c>
      <c r="E74" s="20" t="inlineStr">
        <is>
          <t>BNBPXW7</t>
        </is>
      </c>
    </row>
    <row r="75">
      <c r="A75" s="28" t="n">
        <v>20423</v>
      </c>
      <c r="B75" s="2" t="inlineStr">
        <is>
          <t>SAUDI BRITISH BANK/THE COMMON STOCK SAR 10</t>
        </is>
      </c>
      <c r="C75" s="18" t="n">
        <v>148795.87</v>
      </c>
      <c r="D75" s="19">
        <f>C75/$C$114</f>
        <v/>
      </c>
      <c r="E75" s="20" t="inlineStr">
        <is>
          <t>B12LSY7</t>
        </is>
      </c>
    </row>
    <row r="76">
      <c r="A76" s="28" t="n">
        <v>11659</v>
      </c>
      <c r="B76" s="2" t="inlineStr">
        <is>
          <t>HELLENIC TELECOMMUNICATIONS ORGANIZATION SA COMMON STOCK EUR 2.83</t>
        </is>
      </c>
      <c r="C76" s="18" t="n">
        <v>148292.78</v>
      </c>
      <c r="D76" s="19">
        <f>C76/$C$114</f>
        <v/>
      </c>
      <c r="E76" s="20" t="inlineStr">
        <is>
          <t>5051605</t>
        </is>
      </c>
    </row>
    <row r="77">
      <c r="A77" s="28" t="n">
        <v>3693</v>
      </c>
      <c r="B77" s="2" t="inlineStr">
        <is>
          <t>MOUWASAT MEDICAL SERVICES CO COMMON STOCK SAR 10</t>
        </is>
      </c>
      <c r="C77" s="18" t="n">
        <v>146804.85</v>
      </c>
      <c r="D77" s="19">
        <f>C77/$C$114</f>
        <v/>
      </c>
      <c r="E77" s="20" t="inlineStr">
        <is>
          <t>B403QG4</t>
        </is>
      </c>
    </row>
    <row r="78">
      <c r="A78" s="28" t="n">
        <v>10323</v>
      </c>
      <c r="B78" s="2" t="inlineStr">
        <is>
          <t>ANGLOGOLD ASHANTI LTD COMMON STOCK ZAR 25</t>
        </is>
      </c>
      <c r="C78" s="18" t="n">
        <v>143866.14</v>
      </c>
      <c r="D78" s="19">
        <f>C78/$C$114</f>
        <v/>
      </c>
      <c r="E78" s="20" t="inlineStr">
        <is>
          <t>6565655</t>
        </is>
      </c>
    </row>
    <row r="79">
      <c r="A79" s="28" t="n">
        <v>71192</v>
      </c>
      <c r="B79" s="2" t="inlineStr">
        <is>
          <t>MMC NORILSK NICKEL PJSC COMMON STOCK RUB 1</t>
        </is>
      </c>
      <c r="C79" s="18" t="n">
        <v>142139.23</v>
      </c>
      <c r="D79" s="19">
        <f>C79/$C$114</f>
        <v/>
      </c>
      <c r="E79" s="20" t="inlineStr">
        <is>
          <t>0H5804S</t>
        </is>
      </c>
    </row>
    <row r="80">
      <c r="A80" s="28" t="n">
        <v>18714</v>
      </c>
      <c r="B80" s="2" t="inlineStr">
        <is>
          <t>GOLD FIELDS LTD COMMON STOCK ZAR 50</t>
        </is>
      </c>
      <c r="C80" s="18" t="n">
        <v>140453.99</v>
      </c>
      <c r="D80" s="19">
        <f>C80/$C$114</f>
        <v/>
      </c>
      <c r="E80" s="20" t="inlineStr">
        <is>
          <t>6280215</t>
        </is>
      </c>
    </row>
    <row r="81">
      <c r="A81" s="28" t="n">
        <v>4733</v>
      </c>
      <c r="B81" s="2" t="inlineStr">
        <is>
          <t>ANGLO AMERICAN PLC COMMON STOCK GBP 0.54945</t>
        </is>
      </c>
      <c r="C81" s="18" t="n">
        <v>136499.72</v>
      </c>
      <c r="D81" s="19">
        <f>C81/$C$114</f>
        <v/>
      </c>
      <c r="E81" s="20" t="inlineStr">
        <is>
          <t>B1XZS82</t>
        </is>
      </c>
    </row>
    <row r="82">
      <c r="A82" s="28" t="n">
        <v>12293</v>
      </c>
      <c r="B82" s="2" t="inlineStr">
        <is>
          <t>BIDVEST GROUP LTD/THE COMMON STOCK ZAR 5</t>
        </is>
      </c>
      <c r="C82" s="18" t="n">
        <v>129623.34</v>
      </c>
      <c r="D82" s="19">
        <f>C82/$C$114</f>
        <v/>
      </c>
      <c r="E82" s="20" t="inlineStr">
        <is>
          <t>6100089</t>
        </is>
      </c>
    </row>
    <row r="83">
      <c r="A83" s="28" t="n">
        <v>78324</v>
      </c>
      <c r="B83" s="2" t="inlineStr">
        <is>
          <t>OUTSURANCE GROUP LTD COMMON STOCK ZAR 0.0001</t>
        </is>
      </c>
      <c r="C83" s="18" t="n">
        <v>125787.9</v>
      </c>
      <c r="D83" s="19">
        <f>C83/$C$114</f>
        <v/>
      </c>
      <c r="E83" s="20" t="inlineStr">
        <is>
          <t>BN6QSM0</t>
        </is>
      </c>
    </row>
    <row r="84">
      <c r="A84" s="28" t="n">
        <v>2041744</v>
      </c>
      <c r="B84" s="2" t="inlineStr">
        <is>
          <t>ROSNEFT OIL CO PJSC COMMON STOCK RUB 0.01</t>
        </is>
      </c>
      <c r="C84" s="18" t="n">
        <v>62777.62</v>
      </c>
      <c r="D84" s="19">
        <f>C84/$C$114</f>
        <v/>
      </c>
      <c r="E84" s="20" t="inlineStr">
        <is>
          <t>0H5827S</t>
        </is>
      </c>
    </row>
    <row r="85">
      <c r="A85" s="28" t="n">
        <v>1677948</v>
      </c>
      <c r="B85" s="2" t="inlineStr">
        <is>
          <t>ROSNEFT OIL CO PJSC COMMON STOCK RUB</t>
        </is>
      </c>
      <c r="C85" s="18" t="n">
        <v>56887.62</v>
      </c>
      <c r="D85" s="19">
        <f>C85/$C$114</f>
        <v/>
      </c>
      <c r="E85" s="20" t="inlineStr">
        <is>
          <t>2H7674S</t>
        </is>
      </c>
    </row>
    <row r="86" customFormat="1" s="35">
      <c r="A86" s="30" t="n"/>
      <c r="B86" s="27" t="inlineStr">
        <is>
          <t>Subtotal</t>
        </is>
      </c>
      <c r="C86" s="29">
        <f>+C85+C84</f>
        <v/>
      </c>
      <c r="D86" s="31">
        <f>C86/$C$114</f>
        <v/>
      </c>
      <c r="E86" s="34" t="n"/>
      <c r="G86" s="3" t="n"/>
    </row>
    <row r="87">
      <c r="A87" s="28" t="n">
        <v>23970</v>
      </c>
      <c r="B87" s="2" t="inlineStr">
        <is>
          <t>FOSCHINI GROUP LTD/THE COMMON STOCK ZAR 1.25</t>
        </is>
      </c>
      <c r="C87" s="18" t="n">
        <v>109533.11</v>
      </c>
      <c r="D87" s="19">
        <f>C87/$C$114</f>
        <v/>
      </c>
      <c r="E87" s="20" t="inlineStr">
        <is>
          <t>6349688</t>
        </is>
      </c>
    </row>
    <row r="88">
      <c r="A88" s="28" t="n">
        <v>15672</v>
      </c>
      <c r="B88" s="2" t="inlineStr">
        <is>
          <t>MR PRICE GROUP LTD COMMON STOCK ZAR 0.025</t>
        </is>
      </c>
      <c r="C88" s="18" t="n">
        <v>107383.17</v>
      </c>
      <c r="D88" s="19">
        <f>C88/$C$114</f>
        <v/>
      </c>
      <c r="E88" s="20" t="inlineStr">
        <is>
          <t>BYXW419</t>
        </is>
      </c>
    </row>
    <row r="89">
      <c r="A89" s="28" t="n">
        <v>38152</v>
      </c>
      <c r="B89" s="2" t="inlineStr">
        <is>
          <t>TRUWORTHS INTERNATIONAL LTD COMMON STOCK ZAR 0.015</t>
        </is>
      </c>
      <c r="C89" s="18" t="n">
        <v>101461.72</v>
      </c>
      <c r="D89" s="19">
        <f>C89/$C$114</f>
        <v/>
      </c>
      <c r="E89" s="20" t="inlineStr">
        <is>
          <t>6113485</t>
        </is>
      </c>
    </row>
    <row r="90">
      <c r="A90" s="28" t="n">
        <v>20379</v>
      </c>
      <c r="B90" s="2" t="inlineStr">
        <is>
          <t>MOTUS HOLDINGS LTD COMMON STOCK ZAR</t>
        </is>
      </c>
      <c r="C90" s="18" t="n">
        <v>101257.7</v>
      </c>
      <c r="D90" s="19">
        <f>C90/$C$114</f>
        <v/>
      </c>
      <c r="E90" s="20" t="inlineStr">
        <is>
          <t>BDRN3H0</t>
        </is>
      </c>
    </row>
    <row r="91">
      <c r="A91" s="28" t="n">
        <v>3244</v>
      </c>
      <c r="B91" s="2" t="inlineStr">
        <is>
          <t>TEN SQUARE GAMES SA COMMON STOCK PLN 0.1</t>
        </is>
      </c>
      <c r="C91" s="18" t="n">
        <v>79050.14999999999</v>
      </c>
      <c r="D91" s="19">
        <f>C91/$C$114</f>
        <v/>
      </c>
      <c r="E91" s="20" t="inlineStr">
        <is>
          <t>BFZCQ74</t>
        </is>
      </c>
    </row>
    <row r="92">
      <c r="A92" s="28" t="n">
        <v>6332</v>
      </c>
      <c r="B92" s="2" t="inlineStr">
        <is>
          <t>CLICKS GROUP LTD COMMON STOCK ZAR 1</t>
        </is>
      </c>
      <c r="C92" s="18" t="n">
        <v>76196.00999999999</v>
      </c>
      <c r="D92" s="19">
        <f>C92/$C$114</f>
        <v/>
      </c>
      <c r="E92" s="20" t="inlineStr">
        <is>
          <t>6105578</t>
        </is>
      </c>
    </row>
    <row r="93">
      <c r="A93" s="28" t="n">
        <v>3657350</v>
      </c>
      <c r="B93" s="2" t="inlineStr">
        <is>
          <t>NOVOLIPETSK STEEL PJSC COMMON STOCK RUB</t>
        </is>
      </c>
      <c r="C93" s="18" t="n">
        <v>75484.25999999999</v>
      </c>
      <c r="D93" s="19">
        <f>C93/$C$114</f>
        <v/>
      </c>
      <c r="E93" s="20" t="inlineStr">
        <is>
          <t>2H7675S</t>
        </is>
      </c>
    </row>
    <row r="94">
      <c r="A94" s="28" t="n">
        <v>180877</v>
      </c>
      <c r="B94" s="2" t="inlineStr">
        <is>
          <t>MAGNIT PJSC COMMON STOCK RUB 0.01</t>
        </is>
      </c>
      <c r="C94" s="18" t="n">
        <v>55975.48</v>
      </c>
      <c r="D94" s="19">
        <f>C94/$C$114</f>
        <v/>
      </c>
      <c r="E94" s="20" t="inlineStr">
        <is>
          <t>0H5813S</t>
        </is>
      </c>
    </row>
    <row r="95">
      <c r="A95" s="28" t="n">
        <v>1265335</v>
      </c>
      <c r="B95" s="2" t="inlineStr">
        <is>
          <t>GAZPROM NEFT PJSC COMMON STOCK RUB</t>
        </is>
      </c>
      <c r="C95" s="18" t="n">
        <v>50583.24</v>
      </c>
      <c r="D95" s="19">
        <f>C95/$C$114</f>
        <v/>
      </c>
      <c r="E95" s="20" t="inlineStr">
        <is>
          <t>0H5803S</t>
        </is>
      </c>
    </row>
    <row r="96">
      <c r="A96" s="28" t="n">
        <v>730066</v>
      </c>
      <c r="B96" s="2" t="inlineStr">
        <is>
          <t>TATNEFT PJSC COMMON STOCK RUB</t>
        </is>
      </c>
      <c r="C96" s="18" t="n">
        <v>27356.26</v>
      </c>
      <c r="D96" s="19">
        <f>C96/$C$114</f>
        <v/>
      </c>
      <c r="E96" s="20" t="inlineStr">
        <is>
          <t>0H5822S</t>
        </is>
      </c>
    </row>
    <row r="97">
      <c r="A97" s="28" t="n">
        <v>571359</v>
      </c>
      <c r="B97" s="2" t="inlineStr">
        <is>
          <t>TATNEFT PJSC PREFERENCE RUB 1</t>
        </is>
      </c>
      <c r="C97" s="18" t="n">
        <v>18959.5</v>
      </c>
      <c r="D97" s="19">
        <f>C97/$C$114</f>
        <v/>
      </c>
      <c r="E97" s="20" t="inlineStr">
        <is>
          <t>0H5816S</t>
        </is>
      </c>
    </row>
    <row r="98" customFormat="1" s="35">
      <c r="A98" s="30" t="n"/>
      <c r="B98" s="27" t="inlineStr">
        <is>
          <t>Subtotal</t>
        </is>
      </c>
      <c r="C98" s="29">
        <f>+C97+C96</f>
        <v/>
      </c>
      <c r="D98" s="31">
        <f>C98/$C$114</f>
        <v/>
      </c>
      <c r="E98" s="34" t="n"/>
      <c r="G98" s="3" t="n"/>
    </row>
    <row r="99">
      <c r="A99" s="28" t="n">
        <v>6156103</v>
      </c>
      <c r="B99" s="2" t="inlineStr">
        <is>
          <t>ROSTELECOM PJSC COMMON STOCK RUB</t>
        </is>
      </c>
      <c r="C99" s="18" t="n">
        <v>43633.2</v>
      </c>
      <c r="D99" s="19">
        <f>C99/$C$114</f>
        <v/>
      </c>
      <c r="E99" s="20" t="inlineStr">
        <is>
          <t>0H5802S</t>
        </is>
      </c>
    </row>
    <row r="100">
      <c r="A100" s="28" t="n">
        <v>21233273216</v>
      </c>
      <c r="B100" s="2" t="inlineStr">
        <is>
          <t>VTB BANK PJSC COMMON STOCK RUB 0.01</t>
        </is>
      </c>
      <c r="C100" s="18" t="n">
        <v>41742.2</v>
      </c>
      <c r="D100" s="19">
        <f>C100/$C$114</f>
        <v/>
      </c>
      <c r="E100" s="20" t="inlineStr">
        <is>
          <t>0H5837S</t>
        </is>
      </c>
    </row>
    <row r="101">
      <c r="A101" s="28" t="n">
        <v>29773</v>
      </c>
      <c r="B101" s="2" t="inlineStr">
        <is>
          <t>POLYUS PJSC COMMON STOCK RUB</t>
        </is>
      </c>
      <c r="C101" s="18" t="n">
        <v>36456.26</v>
      </c>
      <c r="D101" s="19">
        <f>C101/$C$114</f>
        <v/>
      </c>
      <c r="E101" s="20" t="inlineStr">
        <is>
          <t>2H7182S</t>
        </is>
      </c>
    </row>
    <row r="102">
      <c r="A102" s="28" t="n">
        <v>4003270</v>
      </c>
      <c r="B102" s="2" t="inlineStr">
        <is>
          <t>DETSKY MIR PJSC COMMON STOCK RUB 0.0004</t>
        </is>
      </c>
      <c r="C102" s="18" t="n">
        <v>34250.59</v>
      </c>
      <c r="D102" s="19">
        <f>C102/$C$114</f>
        <v/>
      </c>
      <c r="E102" s="20" t="inlineStr">
        <is>
          <t>0H5850S</t>
        </is>
      </c>
    </row>
    <row r="103">
      <c r="A103" s="28" t="n">
        <v>169819</v>
      </c>
      <c r="B103" s="2" t="inlineStr">
        <is>
          <t>YANDEX NV COMMON STOCK USD 0.01</t>
        </is>
      </c>
      <c r="C103" s="18" t="n">
        <v>26567.32</v>
      </c>
      <c r="D103" s="19">
        <f>C103/$C$114</f>
        <v/>
      </c>
      <c r="E103" s="20" t="inlineStr">
        <is>
          <t>0H6379S</t>
        </is>
      </c>
    </row>
    <row r="104">
      <c r="A104" s="28" t="n">
        <v>432517</v>
      </c>
      <c r="B104" s="2" t="inlineStr">
        <is>
          <t>MD MEDICAL GROUP INVESTMENTS PLC GDR USD</t>
        </is>
      </c>
      <c r="C104" s="18" t="n">
        <v>20363.83</v>
      </c>
      <c r="D104" s="19">
        <f>C104/$C$114</f>
        <v/>
      </c>
      <c r="E104" s="20" t="inlineStr">
        <is>
          <t>0H6371S</t>
        </is>
      </c>
    </row>
    <row r="105">
      <c r="A105" s="28" t="n">
        <v>12313057</v>
      </c>
      <c r="B105" s="2" t="inlineStr">
        <is>
          <t>SISTEMA PJSFC COMMON STOCK RUB 0.09</t>
        </is>
      </c>
      <c r="C105" s="18" t="n">
        <v>15305.86</v>
      </c>
      <c r="D105" s="19">
        <f>C105/$C$114</f>
        <v/>
      </c>
      <c r="E105" s="20" t="inlineStr">
        <is>
          <t>0H5808S</t>
        </is>
      </c>
    </row>
    <row r="106">
      <c r="A106" s="28" t="n">
        <v>577525</v>
      </c>
      <c r="B106" s="2" t="inlineStr">
        <is>
          <t>FIX PRICE GROUP LTD GDR</t>
        </is>
      </c>
      <c r="C106" s="18" t="n">
        <v>4484.15</v>
      </c>
      <c r="D106" s="19">
        <f>C106/$C$114</f>
        <v/>
      </c>
      <c r="E106" s="20" t="inlineStr">
        <is>
          <t>0H6372S</t>
        </is>
      </c>
    </row>
    <row r="107">
      <c r="A107" s="28" t="n">
        <v>75226</v>
      </c>
      <c r="B107" s="2" t="inlineStr">
        <is>
          <t>TCS GROUP HOLDING PLC GDR</t>
        </is>
      </c>
      <c r="C107" s="18" t="n">
        <v>1984.03</v>
      </c>
      <c r="D107" s="19">
        <f>C107/$C$114</f>
        <v/>
      </c>
      <c r="E107" s="20" t="inlineStr">
        <is>
          <t>0H6380S</t>
        </is>
      </c>
    </row>
    <row r="108">
      <c r="A108" s="28" t="n">
        <v>275182</v>
      </c>
      <c r="B108" s="2" t="inlineStr">
        <is>
          <t>X 5 RETAIL GROUP NV-REGS GDR</t>
        </is>
      </c>
      <c r="C108" s="18" t="n">
        <v>1207.88</v>
      </c>
      <c r="D108" s="19">
        <f>C108/$C$114</f>
        <v/>
      </c>
      <c r="E108" s="20" t="inlineStr">
        <is>
          <t>0H6365S</t>
        </is>
      </c>
    </row>
    <row r="109">
      <c r="A109" s="28" t="n">
        <v>552780</v>
      </c>
      <c r="B109" s="2" t="inlineStr">
        <is>
          <t>SEVERSTAL PAO GDR USD</t>
        </is>
      </c>
      <c r="C109" s="18" t="n">
        <v>274.41</v>
      </c>
      <c r="D109" s="19">
        <f>C109/$C$114</f>
        <v/>
      </c>
      <c r="E109" s="20" t="inlineStr">
        <is>
          <t>0H6368S</t>
        </is>
      </c>
    </row>
    <row r="110">
      <c r="A110" s="28" t="n"/>
      <c r="C110" s="18" t="n"/>
      <c r="D110" s="19" t="n"/>
      <c r="E110" s="20" t="n"/>
    </row>
    <row r="111">
      <c r="A111" s="21" t="n"/>
      <c r="B111" s="21" t="inlineStr">
        <is>
          <t>Total portfolio</t>
        </is>
      </c>
      <c r="C111" s="39" t="n">
        <v>18379843.60999999</v>
      </c>
      <c r="D111" s="19">
        <f>C111/$C$114</f>
        <v/>
      </c>
    </row>
    <row r="112">
      <c r="B112" s="21" t="inlineStr">
        <is>
          <t>Net Current Assets</t>
        </is>
      </c>
      <c r="C112" s="39" t="n">
        <v>78556.16999999993</v>
      </c>
      <c r="D112" s="19">
        <f>C112/$C$114</f>
        <v/>
      </c>
    </row>
    <row r="113">
      <c r="B113" s="3" t="n"/>
      <c r="C113" s="39" t="n"/>
      <c r="D113" s="32" t="n"/>
    </row>
    <row r="114">
      <c r="B114" s="21" t="inlineStr">
        <is>
          <t>Total Assets</t>
        </is>
      </c>
      <c r="C114" s="22">
        <f>C111+C112</f>
        <v/>
      </c>
      <c r="D114" s="19">
        <f>C114/$C$114</f>
        <v/>
      </c>
    </row>
    <row r="115">
      <c r="A115"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116"/>
    <row r="117"/>
    <row r="118"/>
  </sheetData>
  <mergeCells count="2">
    <mergeCell ref="A115:E118"/>
    <mergeCell ref="A3:E6"/>
  </mergeCells>
  <pageMargins left="0.7" right="0.7" top="0.75" bottom="0.75" header="0.3" footer="0.3"/>
  <pageSetup orientation="portrait"/>
</worksheet>
</file>

<file path=xl/worksheets/sheet34.xml><?xml version="1.0" encoding="utf-8"?>
<worksheet xmlns="http://schemas.openxmlformats.org/spreadsheetml/2006/main">
  <sheetPr>
    <outlinePr summaryBelow="1" summaryRight="1"/>
    <pageSetUpPr/>
  </sheetPr>
  <dimension ref="A1:N55"/>
  <sheetViews>
    <sheetView topLeftCell="A14"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January 2023</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J12" s="24" t="n"/>
    </row>
    <row r="13">
      <c r="A13" s="28" t="n">
        <v>362649</v>
      </c>
      <c r="B13" s="2" t="inlineStr">
        <is>
          <t>LUKOIL PJSC COMMON STOCK RUB 0.025 RUB</t>
        </is>
      </c>
      <c r="C13" s="18" t="n">
        <v>216328.14</v>
      </c>
      <c r="D13" s="19">
        <f>C13/$C$51</f>
        <v/>
      </c>
      <c r="E13" s="38" t="inlineStr">
        <is>
          <t>2H6442S</t>
        </is>
      </c>
      <c r="J13" s="24" t="n"/>
    </row>
    <row r="14">
      <c r="A14" s="28" t="n">
        <v>262047</v>
      </c>
      <c r="B14" s="2" t="inlineStr">
        <is>
          <t>LUKOIL PJSC COMMON STOCK RUB</t>
        </is>
      </c>
      <c r="C14" s="18" t="n">
        <v>132735.25</v>
      </c>
      <c r="D14" s="19">
        <f>C14/$C$51</f>
        <v/>
      </c>
      <c r="E14" s="20" t="inlineStr">
        <is>
          <t>0H5797S</t>
        </is>
      </c>
      <c r="J14" s="24" t="n"/>
    </row>
    <row r="15" customFormat="1" s="35">
      <c r="A15" s="30" t="n"/>
      <c r="B15" s="27" t="inlineStr">
        <is>
          <t>Subtotal</t>
        </is>
      </c>
      <c r="C15" s="29">
        <f>+C14+C13</f>
        <v/>
      </c>
      <c r="D15" s="31">
        <f>C15/$C$51</f>
        <v/>
      </c>
      <c r="E15" s="34" t="inlineStr">
        <is>
          <t> </t>
        </is>
      </c>
      <c r="G15" s="3" t="n"/>
      <c r="H15" s="3" t="n"/>
      <c r="I15" s="3" t="n"/>
      <c r="J15" s="24" t="n"/>
    </row>
    <row r="16">
      <c r="A16" s="28" t="n">
        <v>8860909</v>
      </c>
      <c r="B16" s="2" t="inlineStr">
        <is>
          <t>GAZPROM PJSC COMMON STOCK RUB</t>
        </is>
      </c>
      <c r="C16" s="18" t="n">
        <v>207280.93</v>
      </c>
      <c r="D16" s="19">
        <f>C16/$C$51</f>
        <v/>
      </c>
      <c r="E16" s="38" t="inlineStr">
        <is>
          <t>0H5796S</t>
        </is>
      </c>
      <c r="J16" s="24" t="n"/>
    </row>
    <row r="17">
      <c r="A17" s="28" t="n">
        <v>5365084</v>
      </c>
      <c r="B17" s="2" t="inlineStr">
        <is>
          <t>GAZPROM PJSC ADR</t>
        </is>
      </c>
      <c r="C17" s="18" t="n">
        <v>25337.18</v>
      </c>
      <c r="D17" s="19">
        <f>C17/$C$51</f>
        <v/>
      </c>
      <c r="E17" s="38" t="inlineStr">
        <is>
          <t>0H6364S</t>
        </is>
      </c>
      <c r="J17" s="24" t="n"/>
    </row>
    <row r="18" customFormat="1" s="35">
      <c r="A18" s="30" t="n"/>
      <c r="B18" s="27" t="inlineStr">
        <is>
          <t>Subtotal</t>
        </is>
      </c>
      <c r="C18" s="29">
        <f>+C17+C16</f>
        <v/>
      </c>
      <c r="D18" s="31">
        <f>C18/$C$51</f>
        <v/>
      </c>
      <c r="E18" s="34" t="inlineStr">
        <is>
          <t> </t>
        </is>
      </c>
      <c r="G18" s="3" t="n"/>
      <c r="H18" s="3" t="n"/>
      <c r="I18" s="3" t="n"/>
      <c r="J18" s="24" t="n"/>
    </row>
    <row r="19">
      <c r="A19" s="28" t="n">
        <v>14455036</v>
      </c>
      <c r="B19" s="2" t="inlineStr">
        <is>
          <t>SBERBANK OF RUSSIA PJSC PREFERENCE RUB 3</t>
        </is>
      </c>
      <c r="C19" s="18" t="n">
        <v>186533.96</v>
      </c>
      <c r="D19" s="19">
        <f>C19/$C$51</f>
        <v/>
      </c>
      <c r="E19" s="20" t="inlineStr">
        <is>
          <t>0H5856S</t>
        </is>
      </c>
      <c r="J19" s="24" t="n"/>
    </row>
    <row r="20">
      <c r="A20" s="28" t="n">
        <v>2355925</v>
      </c>
      <c r="B20" s="2" t="inlineStr">
        <is>
          <t>SBERBANK OF RUSSIA PJSC</t>
        </is>
      </c>
      <c r="C20" s="18" t="n">
        <v>30182.14</v>
      </c>
      <c r="D20" s="19">
        <f>C20/$C$51</f>
        <v/>
      </c>
      <c r="E20" s="20" t="inlineStr">
        <is>
          <t>0H5855S</t>
        </is>
      </c>
      <c r="J20" s="24" t="n"/>
    </row>
    <row r="21" customFormat="1" s="35">
      <c r="A21" s="30" t="n"/>
      <c r="B21" s="27" t="inlineStr">
        <is>
          <t>Subtotal</t>
        </is>
      </c>
      <c r="C21" s="29">
        <f>+C20+C19</f>
        <v/>
      </c>
      <c r="D21" s="31">
        <f>C21/$C$51</f>
        <v/>
      </c>
      <c r="E21" s="34" t="inlineStr">
        <is>
          <t> </t>
        </is>
      </c>
      <c r="G21" s="3" t="n"/>
      <c r="H21" s="3" t="n"/>
      <c r="I21" s="3" t="n"/>
      <c r="J21" s="24" t="n"/>
    </row>
    <row r="22">
      <c r="A22" s="28" t="n">
        <v>1268490</v>
      </c>
      <c r="B22" s="2" t="inlineStr">
        <is>
          <t>NOVATEK PJSC COMMON STOCK RUB 0.1</t>
        </is>
      </c>
      <c r="C22" s="18" t="n">
        <v>186325.77</v>
      </c>
      <c r="D22" s="19">
        <f>C22/$C$51</f>
        <v/>
      </c>
      <c r="E22" s="20" t="inlineStr">
        <is>
          <t>2H6464S</t>
        </is>
      </c>
      <c r="J22" s="24" t="n"/>
    </row>
    <row r="23">
      <c r="A23" s="28" t="n">
        <v>103572</v>
      </c>
      <c r="B23" s="2" t="inlineStr">
        <is>
          <t>NOVATEK PJSC COMMON STOCK RUB 0.1</t>
        </is>
      </c>
      <c r="C23" s="18" t="n">
        <v>12918.4</v>
      </c>
      <c r="D23" s="19">
        <f>C23/$C$51</f>
        <v/>
      </c>
      <c r="E23" s="20" t="inlineStr">
        <is>
          <t>2H6464S</t>
        </is>
      </c>
      <c r="J23" s="24" t="n"/>
    </row>
    <row r="24" customFormat="1" s="35">
      <c r="A24" s="30" t="n"/>
      <c r="B24" s="27" t="inlineStr">
        <is>
          <t>Subtotal</t>
        </is>
      </c>
      <c r="C24" s="29">
        <f>+C23+C22</f>
        <v/>
      </c>
      <c r="D24" s="31">
        <f>C24/$C$51</f>
        <v/>
      </c>
      <c r="E24" s="34" t="inlineStr">
        <is>
          <t> </t>
        </is>
      </c>
      <c r="G24" s="3" t="n"/>
      <c r="H24" s="3" t="n"/>
      <c r="I24" s="3" t="n"/>
      <c r="J24" s="24" t="n"/>
    </row>
    <row r="25">
      <c r="A25" s="30" t="n">
        <v>71192</v>
      </c>
      <c r="B25" s="2" t="inlineStr">
        <is>
          <t>MMC NORILSK NICKEL PJSC COMMON STOCK RUB 1</t>
        </is>
      </c>
      <c r="C25" s="33" t="n">
        <v>139778.13</v>
      </c>
      <c r="D25" s="19">
        <f>C25/$C$51</f>
        <v/>
      </c>
      <c r="E25" s="38" t="inlineStr">
        <is>
          <t>0H5804S</t>
        </is>
      </c>
      <c r="J25" s="24" t="n"/>
    </row>
    <row r="26">
      <c r="A26" s="28" t="n">
        <v>2041744</v>
      </c>
      <c r="B26" s="2" t="inlineStr">
        <is>
          <t>ROSNEFT OIL CO PJSC COMMON STOCK RUB 0.01</t>
        </is>
      </c>
      <c r="C26" s="18" t="n">
        <v>61734.81</v>
      </c>
      <c r="D26" s="19">
        <f>C26/$C$51</f>
        <v/>
      </c>
      <c r="E26" s="20" t="inlineStr">
        <is>
          <t>0H5827S</t>
        </is>
      </c>
      <c r="J26" s="24" t="n"/>
    </row>
    <row r="27">
      <c r="A27" s="28" t="n">
        <v>1677948</v>
      </c>
      <c r="B27" s="2" t="inlineStr">
        <is>
          <t>ROSNEFT OIL CO PJSC COMMON STOCK RUB</t>
        </is>
      </c>
      <c r="C27" s="18" t="n">
        <v>59820.97</v>
      </c>
      <c r="D27" s="19">
        <f>C27/$C$51</f>
        <v/>
      </c>
      <c r="E27" s="20" t="inlineStr">
        <is>
          <t>2H7674S</t>
        </is>
      </c>
      <c r="J27" s="24" t="n"/>
    </row>
    <row r="28" customFormat="1" s="35">
      <c r="A28" s="30" t="n"/>
      <c r="B28" s="27" t="inlineStr">
        <is>
          <t>Subtotal</t>
        </is>
      </c>
      <c r="C28" s="29">
        <f>+C27+C26</f>
        <v/>
      </c>
      <c r="D28" s="31">
        <f>C28/$C$51</f>
        <v/>
      </c>
      <c r="E28" s="34" t="inlineStr">
        <is>
          <t> </t>
        </is>
      </c>
      <c r="G28" s="3" t="n"/>
      <c r="H28" s="3" t="n"/>
      <c r="I28" s="3" t="n"/>
      <c r="J28" s="24" t="n"/>
    </row>
    <row r="29">
      <c r="A29" s="28" t="n">
        <v>3657350</v>
      </c>
      <c r="B29" s="2" t="inlineStr">
        <is>
          <t>NOVOLIPETSK STEEL PJSC COMMON STOCK RUB</t>
        </is>
      </c>
      <c r="C29" s="18" t="n">
        <v>79376.52</v>
      </c>
      <c r="D29" s="19">
        <f>C29/$C$51</f>
        <v/>
      </c>
      <c r="E29" s="20" t="inlineStr">
        <is>
          <t>2H7675S</t>
        </is>
      </c>
      <c r="J29" s="24" t="n"/>
    </row>
    <row r="30">
      <c r="A30" s="30" t="n">
        <v>180877</v>
      </c>
      <c r="B30" s="2" t="inlineStr">
        <is>
          <t>MAGNIT PJSC COMMON STOCK RUB 0.01</t>
        </is>
      </c>
      <c r="C30" s="18" t="n">
        <v>55045.66</v>
      </c>
      <c r="D30" s="19">
        <f>C30/$C$51</f>
        <v/>
      </c>
      <c r="E30" s="20" t="inlineStr">
        <is>
          <t>0H5813S</t>
        </is>
      </c>
      <c r="J30" s="24" t="n"/>
    </row>
    <row r="31">
      <c r="A31" s="28" t="n">
        <v>1265335</v>
      </c>
      <c r="B31" s="2" t="inlineStr">
        <is>
          <t>GAZPROM NEFT PJSC COMMON STOCK RUB</t>
        </is>
      </c>
      <c r="C31" s="18" t="n">
        <v>49743</v>
      </c>
      <c r="D31" s="19">
        <f>C31/$C$51</f>
        <v/>
      </c>
      <c r="E31" s="38" t="inlineStr">
        <is>
          <t>0H5803S</t>
        </is>
      </c>
      <c r="J31" s="24" t="n"/>
    </row>
    <row r="32">
      <c r="A32" s="28" t="n">
        <v>730066</v>
      </c>
      <c r="B32" s="2" t="inlineStr">
        <is>
          <t>TATNEFT PJSC COMMON STOCK RUB</t>
        </is>
      </c>
      <c r="C32" s="18" t="n">
        <v>26901.84</v>
      </c>
      <c r="D32" s="19">
        <f>C32/$C$51</f>
        <v/>
      </c>
      <c r="E32" s="38" t="inlineStr">
        <is>
          <t>0H5822S</t>
        </is>
      </c>
      <c r="J32" s="24" t="n"/>
    </row>
    <row r="33">
      <c r="A33" s="30" t="n">
        <v>571359</v>
      </c>
      <c r="B33" s="2" t="inlineStr">
        <is>
          <t>TATNEFT PJSC PREFERENCE RUB 1</t>
        </is>
      </c>
      <c r="C33" s="18" t="n">
        <v>18644.56</v>
      </c>
      <c r="D33" s="19">
        <f>C33/$C$51</f>
        <v/>
      </c>
      <c r="E33" s="38" t="inlineStr">
        <is>
          <t>0H5816S</t>
        </is>
      </c>
      <c r="F33" s="18" t="n"/>
      <c r="J33" s="24" t="n"/>
    </row>
    <row r="34" customFormat="1" s="35">
      <c r="A34" s="30" t="n"/>
      <c r="B34" s="27" t="inlineStr">
        <is>
          <t>Subtotal</t>
        </is>
      </c>
      <c r="C34" s="29">
        <f>+C33+C32</f>
        <v/>
      </c>
      <c r="D34" s="31">
        <f>C34/$C$51</f>
        <v/>
      </c>
      <c r="E34" s="34" t="inlineStr">
        <is>
          <t> </t>
        </is>
      </c>
      <c r="G34" s="3" t="n"/>
      <c r="H34" s="3" t="n"/>
      <c r="I34" s="3" t="n"/>
      <c r="J34" s="24" t="n"/>
    </row>
    <row r="35">
      <c r="A35" s="28" t="n">
        <v>6156103</v>
      </c>
      <c r="B35" s="2" t="inlineStr">
        <is>
          <t>ROSTELECOM PJSC COMMON STOCK RUB</t>
        </is>
      </c>
      <c r="C35" s="18" t="n">
        <v>42908.4</v>
      </c>
      <c r="D35" s="19">
        <f>C35/$C$51</f>
        <v/>
      </c>
      <c r="E35" s="20" t="inlineStr">
        <is>
          <t>0H5802S</t>
        </is>
      </c>
      <c r="J35" s="24" t="n"/>
    </row>
    <row r="36">
      <c r="A36" s="28" t="n">
        <v>21233273216</v>
      </c>
      <c r="B36" s="2" t="inlineStr">
        <is>
          <t>VTB BANK PJSC COMMON STOCK RUB 0.01</t>
        </is>
      </c>
      <c r="C36" s="18" t="n">
        <v>41048.81</v>
      </c>
      <c r="D36" s="19">
        <f>C36/$C$51</f>
        <v/>
      </c>
      <c r="E36" s="20" t="inlineStr">
        <is>
          <t>0H5837S</t>
        </is>
      </c>
      <c r="J36" s="24" t="n"/>
    </row>
    <row r="37">
      <c r="A37" s="28" t="n">
        <v>29773</v>
      </c>
      <c r="B37" s="2" t="inlineStr">
        <is>
          <t>POLYUS PJSC COMMON STOCK RUB</t>
        </is>
      </c>
      <c r="C37" s="18" t="n">
        <v>38336.09</v>
      </c>
      <c r="D37" s="19">
        <f>C37/$C$51</f>
        <v/>
      </c>
      <c r="E37" s="20" t="inlineStr">
        <is>
          <t>2H7182S</t>
        </is>
      </c>
      <c r="J37" s="24" t="n"/>
    </row>
    <row r="38">
      <c r="A38" s="28" t="n">
        <v>4003270</v>
      </c>
      <c r="B38" s="2" t="inlineStr">
        <is>
          <t>DETSKY MIR PJSC COMMON STOCK RUB 0.0004</t>
        </is>
      </c>
      <c r="C38" s="18" t="n">
        <v>33681.64</v>
      </c>
      <c r="D38" s="19">
        <f>C38/$C$51</f>
        <v/>
      </c>
      <c r="E38" s="20" t="inlineStr">
        <is>
          <t>0H5850S</t>
        </is>
      </c>
      <c r="J38" s="24" t="n"/>
      <c r="L38" s="24" t="n"/>
      <c r="N38" s="25" t="n"/>
    </row>
    <row r="39">
      <c r="A39" s="30" t="n">
        <v>169819</v>
      </c>
      <c r="B39" s="2" t="inlineStr">
        <is>
          <t>YANDEX NV COMMON STOCK USD 0.01</t>
        </is>
      </c>
      <c r="C39" s="18" t="n">
        <v>26126</v>
      </c>
      <c r="D39" s="19">
        <f>C39/$C$51</f>
        <v/>
      </c>
      <c r="E39" s="20" t="inlineStr">
        <is>
          <t>0H6379S</t>
        </is>
      </c>
      <c r="J39" s="24" t="n"/>
    </row>
    <row r="40">
      <c r="A40" s="28" t="n">
        <v>432517</v>
      </c>
      <c r="B40" s="2" t="inlineStr">
        <is>
          <t>MD MEDICAL GROUP INVESTMENTS PLC GDR USD</t>
        </is>
      </c>
      <c r="C40" s="18" t="n">
        <v>20025.56</v>
      </c>
      <c r="D40" s="19">
        <f>C40/$C$51</f>
        <v/>
      </c>
      <c r="E40" s="20" t="inlineStr">
        <is>
          <t>0H6371S</t>
        </is>
      </c>
      <c r="J40" s="24" t="n"/>
    </row>
    <row r="41">
      <c r="A41" s="28" t="n">
        <v>12313057</v>
      </c>
      <c r="B41" s="2" t="inlineStr">
        <is>
          <t>SISTEMA PJSFC COMMON STOCK RUB 0.09</t>
        </is>
      </c>
      <c r="C41" s="18" t="n">
        <v>15051.61</v>
      </c>
      <c r="D41" s="19">
        <f>C41/$C$51</f>
        <v/>
      </c>
      <c r="E41" s="20" t="inlineStr">
        <is>
          <t>0H5808S</t>
        </is>
      </c>
      <c r="J41" s="24" t="n"/>
    </row>
    <row r="42">
      <c r="A42" s="28" t="n">
        <v>577525</v>
      </c>
      <c r="B42" s="2" t="inlineStr">
        <is>
          <t>FIX PRICE GROUP LTD GDR</t>
        </is>
      </c>
      <c r="C42" s="18" t="n">
        <v>4409.67</v>
      </c>
      <c r="D42" s="19">
        <f>C42/$C$51</f>
        <v/>
      </c>
      <c r="E42" s="20" t="inlineStr">
        <is>
          <t>0H6372S</t>
        </is>
      </c>
      <c r="J42" s="24" t="n"/>
    </row>
    <row r="43">
      <c r="A43" s="28" t="n">
        <v>75226</v>
      </c>
      <c r="B43" s="2" t="inlineStr">
        <is>
          <t>TCS GROUP HOLDING PLC GDR</t>
        </is>
      </c>
      <c r="C43" s="18" t="n">
        <v>1951.08</v>
      </c>
      <c r="D43" s="19">
        <f>C43/$C$51</f>
        <v/>
      </c>
      <c r="E43" s="20" t="inlineStr">
        <is>
          <t>0H6380S</t>
        </is>
      </c>
      <c r="J43" s="24" t="n"/>
    </row>
    <row r="44">
      <c r="A44" s="30" t="n">
        <v>275182</v>
      </c>
      <c r="B44" s="2" t="inlineStr">
        <is>
          <t>X 5 RETAIL GROUP NV-REGS GDR</t>
        </is>
      </c>
      <c r="C44" s="33" t="n">
        <v>1187.82</v>
      </c>
      <c r="D44" s="19">
        <f>C44/$C$51</f>
        <v/>
      </c>
      <c r="E44" s="20" t="inlineStr">
        <is>
          <t>0H6365S</t>
        </is>
      </c>
      <c r="J44" s="24" t="n"/>
    </row>
    <row r="45">
      <c r="A45" s="28" t="n">
        <v>552780</v>
      </c>
      <c r="B45" s="2" t="inlineStr">
        <is>
          <t>SEVERSTAL PAO GDR USD</t>
        </is>
      </c>
      <c r="C45" s="18" t="n">
        <v>269.86</v>
      </c>
      <c r="D45" s="19">
        <f>C45/$C$51</f>
        <v/>
      </c>
      <c r="E45" s="20" t="inlineStr">
        <is>
          <t>0H6368S</t>
        </is>
      </c>
      <c r="J45" s="24" t="n"/>
    </row>
    <row r="46">
      <c r="A46" s="28" t="n"/>
      <c r="C46" s="18" t="n"/>
      <c r="D46" s="19" t="n"/>
      <c r="E46" s="20" t="n"/>
    </row>
    <row r="47">
      <c r="C47" s="18" t="n"/>
      <c r="D47" s="19" t="n"/>
      <c r="E47" s="20" t="n"/>
    </row>
    <row r="48">
      <c r="A48" s="21" t="n"/>
      <c r="B48" s="21" t="inlineStr">
        <is>
          <t>Total portfolio</t>
        </is>
      </c>
      <c r="C48" s="39" t="n">
        <v>18715932.06999999</v>
      </c>
      <c r="D48" s="19">
        <f>C48/$C$51</f>
        <v/>
      </c>
    </row>
    <row r="49">
      <c r="B49" s="21" t="inlineStr">
        <is>
          <t>Net Current Assets</t>
        </is>
      </c>
      <c r="C49" s="39" t="n">
        <v>153747.6399999999</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5.xml><?xml version="1.0" encoding="utf-8"?>
<worksheet xmlns="http://schemas.openxmlformats.org/spreadsheetml/2006/main">
  <sheetPr>
    <outlinePr summaryBelow="1" summaryRight="1"/>
    <pageSetUpPr/>
  </sheetPr>
  <dimension ref="A1:N55"/>
  <sheetViews>
    <sheetView workbookViewId="0">
      <selection activeCell="A8" sqref="A8"/>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December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H12" s="3">
        <f>IF(B12="Subtotal"," ",(VLOOKUP(B12,'February 2023'!$B$12:$E$112,4,0)))</f>
        <v/>
      </c>
    </row>
    <row r="13">
      <c r="A13" s="28" t="n">
        <v>362649</v>
      </c>
      <c r="B13" s="2" t="inlineStr">
        <is>
          <t>LUKOIL PJSC COMMON STOCK RUB 0.025 RUB</t>
        </is>
      </c>
      <c r="C13" s="18" t="n">
        <v>212831.74</v>
      </c>
      <c r="D13" s="19">
        <f>C13/$C$51</f>
        <v/>
      </c>
      <c r="E13" s="38" t="inlineStr">
        <is>
          <t>2H6442S</t>
        </is>
      </c>
      <c r="H13" s="3">
        <f>IF(B13="Subtotal"," ",(VLOOKUP(B13,'February 2023'!$B$12:$E$112,4,0)))</f>
        <v/>
      </c>
    </row>
    <row r="14">
      <c r="A14" s="28" t="n">
        <v>262047</v>
      </c>
      <c r="B14" s="2" t="inlineStr">
        <is>
          <t>LUKOIL PJSC COMMON STOCK RUB</t>
        </is>
      </c>
      <c r="C14" s="18" t="n">
        <v>135847.01</v>
      </c>
      <c r="D14" s="19">
        <f>C14/$C$51</f>
        <v/>
      </c>
      <c r="E14" s="20" t="inlineStr">
        <is>
          <t>0H5797S</t>
        </is>
      </c>
      <c r="H14" s="3">
        <f>IF(B14="Subtotal"," ",(VLOOKUP(B14,'February 2023'!$B$12:$E$112,4,0)))</f>
        <v/>
      </c>
    </row>
    <row r="15" customFormat="1" s="35">
      <c r="A15" s="30" t="n"/>
      <c r="B15" s="27" t="inlineStr">
        <is>
          <t>Subtotal</t>
        </is>
      </c>
      <c r="C15" s="29">
        <f>+C14+C13</f>
        <v/>
      </c>
      <c r="D15" s="31">
        <f>C15/$C$51</f>
        <v/>
      </c>
      <c r="E15" s="34" t="inlineStr">
        <is>
          <t> </t>
        </is>
      </c>
      <c r="G15" s="3" t="n"/>
      <c r="H15" s="3">
        <f>IF(B15="Subtotal"," ",(VLOOKUP(B15,'February 2023'!$B$12:$E$112,4,0)))</f>
        <v/>
      </c>
    </row>
    <row r="16">
      <c r="A16" s="28" t="n">
        <v>8860909</v>
      </c>
      <c r="B16" s="2" t="inlineStr">
        <is>
          <t>GAZPROM PJSC COMMON STOCK RUB</t>
        </is>
      </c>
      <c r="C16" s="18" t="n">
        <v>212140.29</v>
      </c>
      <c r="D16" s="19">
        <f>C16/$C$51</f>
        <v/>
      </c>
      <c r="E16" s="38" t="inlineStr">
        <is>
          <t>0H5796S</t>
        </is>
      </c>
      <c r="H16" s="3">
        <f>IF(B16="Subtotal"," ",(VLOOKUP(B16,'February 2023'!$B$12:$E$112,4,0)))</f>
        <v/>
      </c>
    </row>
    <row r="17">
      <c r="A17" s="28" t="n">
        <v>5365084</v>
      </c>
      <c r="B17" s="2" t="inlineStr">
        <is>
          <t>GAZPROM PJSC ADR</t>
        </is>
      </c>
      <c r="C17" s="18" t="n">
        <v>25931.17</v>
      </c>
      <c r="D17" s="19">
        <f>C17/$C$51</f>
        <v/>
      </c>
      <c r="E17" s="38" t="inlineStr">
        <is>
          <t>0H6364S</t>
        </is>
      </c>
      <c r="H17" s="3">
        <f>IF(B17="Subtotal"," ",(VLOOKUP(B17,'February 2023'!$B$12:$E$112,4,0)))</f>
        <v/>
      </c>
    </row>
    <row r="18" customFormat="1" s="35">
      <c r="A18" s="30" t="n"/>
      <c r="B18" s="27" t="inlineStr">
        <is>
          <t>Subtotal</t>
        </is>
      </c>
      <c r="C18" s="29">
        <f>+C17+C16</f>
        <v/>
      </c>
      <c r="D18" s="31">
        <f>C18/$C$51</f>
        <v/>
      </c>
      <c r="E18" s="34" t="inlineStr">
        <is>
          <t> </t>
        </is>
      </c>
      <c r="G18" s="3" t="n"/>
      <c r="H18" s="3">
        <f>IF(B18="Subtotal"," ",(VLOOKUP(B18,'February 2023'!$B$12:$E$112,4,0)))</f>
        <v/>
      </c>
    </row>
    <row r="19">
      <c r="A19" s="28" t="n">
        <v>14455036</v>
      </c>
      <c r="B19" s="2" t="inlineStr">
        <is>
          <t>SBERBANK OF RUSSIA PJSC PREFERENCE RUB 3</t>
        </is>
      </c>
      <c r="C19" s="18" t="n">
        <v>190906.94</v>
      </c>
      <c r="D19" s="19">
        <f>C19/$C$51</f>
        <v/>
      </c>
      <c r="E19" s="20" t="inlineStr">
        <is>
          <t>0H5856S</t>
        </is>
      </c>
      <c r="H19" s="3">
        <f>IF(B19="Subtotal"," ",(VLOOKUP(B19,'February 2023'!$B$12:$E$112,4,0)))</f>
        <v/>
      </c>
    </row>
    <row r="20">
      <c r="A20" s="28" t="n">
        <v>2355925</v>
      </c>
      <c r="B20" s="2" t="inlineStr">
        <is>
          <t>SBERBANK OF RUSSIA PJSC</t>
        </is>
      </c>
      <c r="C20" s="18" t="n">
        <v>30889.71</v>
      </c>
      <c r="D20" s="19">
        <f>C20/$C$51</f>
        <v/>
      </c>
      <c r="E20" s="20" t="inlineStr">
        <is>
          <t>0H5855S</t>
        </is>
      </c>
      <c r="H20" s="3">
        <f>IF(B20="Subtotal"," ",(VLOOKUP(B20,'February 2023'!$B$12:$E$112,4,0)))</f>
        <v/>
      </c>
    </row>
    <row r="21" customFormat="1" s="35">
      <c r="A21" s="30" t="n"/>
      <c r="B21" s="27" t="inlineStr">
        <is>
          <t>Subtotal</t>
        </is>
      </c>
      <c r="C21" s="29">
        <f>+C20+C19</f>
        <v/>
      </c>
      <c r="D21" s="31">
        <f>C21/$C$51</f>
        <v/>
      </c>
      <c r="E21" s="34" t="inlineStr">
        <is>
          <t> </t>
        </is>
      </c>
      <c r="G21" s="3" t="n"/>
      <c r="H21" s="3">
        <f>IF(B21="Subtotal"," ",(VLOOKUP(B21,'February 2023'!$B$12:$E$112,4,0)))</f>
        <v/>
      </c>
    </row>
    <row r="22">
      <c r="A22" s="28" t="n">
        <v>1268490</v>
      </c>
      <c r="B22" s="2" t="inlineStr">
        <is>
          <t>NOVATEK PJSC COMMON STOCK RUB 0.1</t>
        </is>
      </c>
      <c r="C22" s="18" t="n">
        <v>183314.28</v>
      </c>
      <c r="D22" s="19">
        <f>C22/$C$51</f>
        <v/>
      </c>
      <c r="E22" s="20" t="inlineStr">
        <is>
          <t>2H6464S</t>
        </is>
      </c>
      <c r="H22" s="3">
        <f>IF(B22="Subtotal"," ",(VLOOKUP(B22,'February 2023'!$B$12:$E$112,4,0)))</f>
        <v/>
      </c>
    </row>
    <row r="23">
      <c r="A23" s="28" t="n">
        <v>103572</v>
      </c>
      <c r="B23" s="2" t="inlineStr">
        <is>
          <t>NOVATEK PJSC COMMON STOCK RUB 0.1</t>
        </is>
      </c>
      <c r="C23" s="18" t="n">
        <v>13221.25</v>
      </c>
      <c r="D23" s="19">
        <f>C23/$C$51</f>
        <v/>
      </c>
      <c r="E23" s="20" t="inlineStr">
        <is>
          <t>2H6464S</t>
        </is>
      </c>
      <c r="H23" s="3">
        <f>IF(B23="Subtotal"," ",(VLOOKUP(B23,'February 2023'!$B$12:$E$112,4,0)))</f>
        <v/>
      </c>
    </row>
    <row r="24" customFormat="1" s="35">
      <c r="A24" s="30" t="n"/>
      <c r="B24" s="27" t="inlineStr">
        <is>
          <t>Subtotal</t>
        </is>
      </c>
      <c r="C24" s="29">
        <f>+C23+C22</f>
        <v/>
      </c>
      <c r="D24" s="31">
        <f>C24/$C$51</f>
        <v/>
      </c>
      <c r="E24" s="34" t="inlineStr">
        <is>
          <t> </t>
        </is>
      </c>
      <c r="G24" s="3" t="n"/>
      <c r="H24" s="3">
        <f>IF(B24="Subtotal"," ",(VLOOKUP(B24,'February 2023'!$B$12:$E$112,4,0)))</f>
        <v/>
      </c>
    </row>
    <row r="25">
      <c r="A25" s="30" t="n">
        <v>71192</v>
      </c>
      <c r="B25" s="2" t="inlineStr">
        <is>
          <t>MMC NORILSK NICKEL PJSC COMMON STOCK RUB 1</t>
        </is>
      </c>
      <c r="C25" s="33" t="n">
        <v>143055</v>
      </c>
      <c r="D25" s="19">
        <f>C25/$C$51</f>
        <v/>
      </c>
      <c r="E25" s="38" t="inlineStr">
        <is>
          <t>0H5804S</t>
        </is>
      </c>
      <c r="H25" s="3">
        <f>IF(B25="Subtotal"," ",(VLOOKUP(B25,'February 2023'!$B$12:$E$112,4,0)))</f>
        <v/>
      </c>
    </row>
    <row r="26">
      <c r="A26" s="28" t="n">
        <v>2041744</v>
      </c>
      <c r="B26" s="2" t="inlineStr">
        <is>
          <t>ROSNEFT OIL CO PJSC COMMON STOCK RUB 0.01</t>
        </is>
      </c>
      <c r="C26" s="18" t="n">
        <v>63182.08</v>
      </c>
      <c r="D26" s="19">
        <f>C26/$C$51</f>
        <v/>
      </c>
      <c r="E26" s="20" t="inlineStr">
        <is>
          <t>0H5827S</t>
        </is>
      </c>
      <c r="H26" s="3">
        <f>IF(B26="Subtotal"," ",(VLOOKUP(B26,'February 2023'!$B$12:$E$112,4,0)))</f>
        <v/>
      </c>
    </row>
    <row r="27">
      <c r="A27" s="28" t="n">
        <v>1677948</v>
      </c>
      <c r="B27" s="2" t="inlineStr">
        <is>
          <t>ROSNEFT OIL CO PJSC COMMON STOCK RUB</t>
        </is>
      </c>
      <c r="C27" s="18" t="n">
        <v>58854.12</v>
      </c>
      <c r="D27" s="19">
        <f>C27/$C$51</f>
        <v/>
      </c>
      <c r="E27" s="20" t="inlineStr">
        <is>
          <t>2H7674S</t>
        </is>
      </c>
      <c r="H27" s="3">
        <f>IF(B27="Subtotal"," ",(VLOOKUP(B27,'February 2023'!$B$12:$E$112,4,0)))</f>
        <v/>
      </c>
    </row>
    <row r="28" customFormat="1" s="35">
      <c r="A28" s="30" t="n"/>
      <c r="B28" s="27" t="inlineStr">
        <is>
          <t>Subtotal</t>
        </is>
      </c>
      <c r="C28" s="29">
        <f>+C27+C26</f>
        <v/>
      </c>
      <c r="D28" s="31">
        <f>C28/$C$51</f>
        <v/>
      </c>
      <c r="E28" s="34" t="inlineStr">
        <is>
          <t> </t>
        </is>
      </c>
      <c r="G28" s="3" t="n"/>
      <c r="H28" s="3">
        <f>IF(B28="Subtotal"," ",(VLOOKUP(B28,'February 2023'!$B$12:$E$112,4,0)))</f>
        <v/>
      </c>
    </row>
    <row r="29">
      <c r="A29" s="28" t="n">
        <v>3657350</v>
      </c>
      <c r="B29" s="2" t="inlineStr">
        <is>
          <t>NOVOLIPETSK STEEL PJSC COMMON STOCK RUB</t>
        </is>
      </c>
      <c r="C29" s="18" t="n">
        <v>78093.60000000001</v>
      </c>
      <c r="D29" s="19">
        <f>C29/$C$51</f>
        <v/>
      </c>
      <c r="E29" s="20" t="inlineStr">
        <is>
          <t>2H7675S</t>
        </is>
      </c>
      <c r="H29" s="3">
        <f>IF(B29="Subtotal"," ",(VLOOKUP(B29,'February 2023'!$B$12:$E$112,4,0)))</f>
        <v/>
      </c>
    </row>
    <row r="30">
      <c r="A30" s="30" t="n">
        <v>180877</v>
      </c>
      <c r="B30" s="2" t="inlineStr">
        <is>
          <t>MAGNIT PJSC COMMON STOCK RUB 0.01</t>
        </is>
      </c>
      <c r="C30" s="18" t="n">
        <v>56336.11</v>
      </c>
      <c r="D30" s="19">
        <f>C30/$C$51</f>
        <v/>
      </c>
      <c r="E30" s="20" t="inlineStr">
        <is>
          <t>0H5813S</t>
        </is>
      </c>
      <c r="H30" s="3">
        <f>IF(B30="Subtotal"," ",(VLOOKUP(B30,'February 2023'!$B$12:$E$112,4,0)))</f>
        <v/>
      </c>
    </row>
    <row r="31">
      <c r="A31" s="28" t="n">
        <v>1265335</v>
      </c>
      <c r="B31" s="2" t="inlineStr">
        <is>
          <t>GAZPROM NEFT PJSC COMMON STOCK RUB</t>
        </is>
      </c>
      <c r="C31" s="18" t="n">
        <v>50909.14</v>
      </c>
      <c r="D31" s="19">
        <f>C31/$C$51</f>
        <v/>
      </c>
      <c r="E31" s="38" t="inlineStr">
        <is>
          <t>0H5803S</t>
        </is>
      </c>
      <c r="H31" s="3">
        <f>IF(B31="Subtotal"," ",(VLOOKUP(B31,'February 2023'!$B$12:$E$112,4,0)))</f>
        <v/>
      </c>
    </row>
    <row r="32">
      <c r="A32" s="28" t="n">
        <v>730066</v>
      </c>
      <c r="B32" s="2" t="inlineStr">
        <is>
          <t>TATNEFT PJSC COMMON STOCK RUB</t>
        </is>
      </c>
      <c r="C32" s="18" t="n">
        <v>27532.51</v>
      </c>
      <c r="D32" s="19">
        <f>C32/$C$51</f>
        <v/>
      </c>
      <c r="E32" s="38" t="inlineStr">
        <is>
          <t>0H5822S</t>
        </is>
      </c>
      <c r="H32" s="3">
        <f>IF(B32="Subtotal"," ",(VLOOKUP(B32,'February 2023'!$B$12:$E$112,4,0)))</f>
        <v/>
      </c>
    </row>
    <row r="33">
      <c r="A33" s="30" t="n">
        <v>571359</v>
      </c>
      <c r="B33" s="2" t="inlineStr">
        <is>
          <t>TATNEFT PJSC PREFERENCE RUB 1</t>
        </is>
      </c>
      <c r="C33" s="18" t="n">
        <v>19081.65</v>
      </c>
      <c r="D33" s="19">
        <f>C33/$C$51</f>
        <v/>
      </c>
      <c r="E33" s="38" t="inlineStr">
        <is>
          <t>0H5816S</t>
        </is>
      </c>
      <c r="F33" s="18" t="n"/>
      <c r="H33" s="3">
        <f>IF(B33="Subtotal"," ",(VLOOKUP(B33,'February 2023'!$B$12:$E$112,4,0)))</f>
        <v/>
      </c>
    </row>
    <row r="34" customFormat="1" s="35">
      <c r="A34" s="30" t="n"/>
      <c r="B34" s="27" t="inlineStr">
        <is>
          <t>Subtotal</t>
        </is>
      </c>
      <c r="C34" s="29">
        <f>+C33+C32</f>
        <v/>
      </c>
      <c r="D34" s="31">
        <f>C34/$C$51</f>
        <v/>
      </c>
      <c r="E34" s="34" t="inlineStr">
        <is>
          <t> </t>
        </is>
      </c>
      <c r="G34" s="3" t="n"/>
      <c r="H34" s="3">
        <f>IF(B34="Subtotal"," ",(VLOOKUP(B34,'February 2023'!$B$12:$E$112,4,0)))</f>
        <v/>
      </c>
    </row>
    <row r="35">
      <c r="A35" s="28" t="n">
        <v>6156103</v>
      </c>
      <c r="B35" s="2" t="inlineStr">
        <is>
          <t>ROSTELECOM PJSC COMMON STOCK RUB</t>
        </is>
      </c>
      <c r="C35" s="18" t="n">
        <v>43914.32</v>
      </c>
      <c r="D35" s="19">
        <f>C35/$C$51</f>
        <v/>
      </c>
      <c r="E35" s="20" t="inlineStr">
        <is>
          <t>0H5802S</t>
        </is>
      </c>
      <c r="H35" s="3">
        <f>IF(B35="Subtotal"," ",(VLOOKUP(B35,'February 2023'!$B$12:$E$112,4,0)))</f>
        <v/>
      </c>
    </row>
    <row r="36">
      <c r="A36" s="28" t="n">
        <v>21233273216</v>
      </c>
      <c r="B36" s="2" t="inlineStr">
        <is>
          <t>VTB BANK PJSC COMMON STOCK RUB 0.01</t>
        </is>
      </c>
      <c r="C36" s="18" t="n">
        <v>42011.13</v>
      </c>
      <c r="D36" s="19">
        <f>C36/$C$51</f>
        <v/>
      </c>
      <c r="E36" s="20" t="inlineStr">
        <is>
          <t>0H5837S</t>
        </is>
      </c>
      <c r="H36" s="3">
        <f>IF(B36="Subtotal"," ",(VLOOKUP(B36,'February 2023'!$B$12:$E$112,4,0)))</f>
        <v/>
      </c>
    </row>
    <row r="37">
      <c r="A37" s="28" t="n">
        <v>29773</v>
      </c>
      <c r="B37" s="2" t="inlineStr">
        <is>
          <t>POLYUS PJSC COMMON STOCK RUB</t>
        </is>
      </c>
      <c r="C37" s="18" t="n">
        <v>37716.48</v>
      </c>
      <c r="D37" s="19">
        <f>C37/$C$51</f>
        <v/>
      </c>
      <c r="E37" s="20" t="inlineStr">
        <is>
          <t>2H7182S</t>
        </is>
      </c>
      <c r="H37" s="3">
        <f>IF(B37="Subtotal"," ",(VLOOKUP(B37,'February 2023'!$B$12:$E$112,4,0)))</f>
        <v/>
      </c>
    </row>
    <row r="38">
      <c r="A38" s="28" t="n">
        <v>4003270</v>
      </c>
      <c r="B38" s="2" t="inlineStr">
        <is>
          <t>DETSKY MIR PJSC COMMON STOCK RUB 0.0004</t>
        </is>
      </c>
      <c r="C38" s="18" t="n">
        <v>34471.25</v>
      </c>
      <c r="D38" s="19">
        <f>C38/$C$51</f>
        <v/>
      </c>
      <c r="E38" s="20" t="inlineStr">
        <is>
          <t>0H5850S</t>
        </is>
      </c>
      <c r="H38" s="3">
        <f>IF(B38="Subtotal"," ",(VLOOKUP(B38,'February 2023'!$B$12:$E$112,4,0)))</f>
        <v/>
      </c>
      <c r="L38" s="24" t="n"/>
      <c r="N38" s="25" t="n"/>
    </row>
    <row r="39">
      <c r="A39" s="30" t="n">
        <v>169819</v>
      </c>
      <c r="B39" s="2" t="inlineStr">
        <is>
          <t>YANDEX NV COMMON STOCK USD 0.01</t>
        </is>
      </c>
      <c r="C39" s="18" t="n">
        <v>26738.48</v>
      </c>
      <c r="D39" s="19">
        <f>C39/$C$51</f>
        <v/>
      </c>
      <c r="E39" s="20" t="inlineStr">
        <is>
          <t>0H6379S</t>
        </is>
      </c>
      <c r="H39" s="3">
        <f>IF(B39="Subtotal"," ",(VLOOKUP(B39,'February 2023'!$B$12:$E$112,4,0)))</f>
        <v/>
      </c>
    </row>
    <row r="40">
      <c r="A40" s="28" t="n">
        <v>432517</v>
      </c>
      <c r="B40" s="2" t="inlineStr">
        <is>
          <t>MD MEDICAL GROUP INVESTMENTS PLC GDR USD</t>
        </is>
      </c>
      <c r="C40" s="18" t="n">
        <v>20495.03</v>
      </c>
      <c r="D40" s="19">
        <f>C40/$C$51</f>
        <v/>
      </c>
      <c r="E40" s="20" t="inlineStr">
        <is>
          <t>0H6371S</t>
        </is>
      </c>
      <c r="H40" s="3">
        <f>IF(B40="Subtotal"," ",(VLOOKUP(B40,'February 2023'!$B$12:$E$112,4,0)))</f>
        <v/>
      </c>
    </row>
    <row r="41">
      <c r="A41" s="28" t="n">
        <v>12313057</v>
      </c>
      <c r="B41" s="2" t="inlineStr">
        <is>
          <t>SISTEMA PJSFC COMMON STOCK RUB 0.09</t>
        </is>
      </c>
      <c r="C41" s="18" t="n">
        <v>15404.47</v>
      </c>
      <c r="D41" s="19">
        <f>C41/$C$51</f>
        <v/>
      </c>
      <c r="E41" s="20" t="inlineStr">
        <is>
          <t>0H5808S</t>
        </is>
      </c>
      <c r="H41" s="3">
        <f>IF(B41="Subtotal"," ",(VLOOKUP(B41,'February 2023'!$B$12:$E$112,4,0)))</f>
        <v/>
      </c>
    </row>
    <row r="42">
      <c r="A42" s="28" t="n">
        <v>577525</v>
      </c>
      <c r="B42" s="2" t="inlineStr">
        <is>
          <t>FIX PRICE GROUP LTD GDR</t>
        </is>
      </c>
      <c r="C42" s="18" t="n">
        <v>4513.04</v>
      </c>
      <c r="D42" s="19">
        <f>C42/$C$51</f>
        <v/>
      </c>
      <c r="E42" s="20" t="inlineStr">
        <is>
          <t>0H6372S</t>
        </is>
      </c>
      <c r="H42" s="3">
        <f>IF(B42="Subtotal"," ",(VLOOKUP(B42,'February 2023'!$B$12:$E$112,4,0)))</f>
        <v/>
      </c>
    </row>
    <row r="43">
      <c r="A43" s="28" t="n">
        <v>75226</v>
      </c>
      <c r="B43" s="2" t="inlineStr">
        <is>
          <t>TCS GROUP HOLDING PLC GDR</t>
        </is>
      </c>
      <c r="C43" s="18" t="n">
        <v>1996.82</v>
      </c>
      <c r="D43" s="19">
        <f>C43/$C$51</f>
        <v/>
      </c>
      <c r="E43" s="20" t="inlineStr">
        <is>
          <t>0H6380S</t>
        </is>
      </c>
      <c r="H43" s="3">
        <f>IF(B43="Subtotal"," ",(VLOOKUP(B43,'February 2023'!$B$12:$E$112,4,0)))</f>
        <v/>
      </c>
    </row>
    <row r="44">
      <c r="A44" s="30" t="n">
        <v>275182</v>
      </c>
      <c r="B44" s="2" t="inlineStr">
        <is>
          <t>X 5 RETAIL GROUP NV-REGS GDR</t>
        </is>
      </c>
      <c r="C44" s="33" t="n">
        <v>1215.66</v>
      </c>
      <c r="D44" s="19">
        <f>C44/$C$51</f>
        <v/>
      </c>
      <c r="E44" s="20" t="inlineStr">
        <is>
          <t>0H6365S</t>
        </is>
      </c>
      <c r="H44" s="3">
        <f>IF(B44="Subtotal"," ",(VLOOKUP(B44,'February 2023'!$B$12:$E$112,4,0)))</f>
        <v/>
      </c>
    </row>
    <row r="45">
      <c r="A45" s="28" t="n">
        <v>552780</v>
      </c>
      <c r="B45" s="2" t="inlineStr">
        <is>
          <t>SEVERSTAL PAO GDR USD</t>
        </is>
      </c>
      <c r="C45" s="18" t="n">
        <v>276.18</v>
      </c>
      <c r="D45" s="19">
        <f>C45/$C$51</f>
        <v/>
      </c>
      <c r="E45" s="20" t="inlineStr">
        <is>
          <t>0H6368S</t>
        </is>
      </c>
      <c r="H45" s="3">
        <f>IF(B45="Subtotal"," ",(VLOOKUP(B45,'February 2023'!$B$12:$E$112,4,0)))</f>
        <v/>
      </c>
    </row>
    <row r="46">
      <c r="A46" s="28" t="n"/>
      <c r="C46" s="18" t="n"/>
      <c r="D46" s="19" t="n"/>
      <c r="E46" s="20" t="n"/>
    </row>
    <row r="47">
      <c r="C47" s="18" t="n"/>
      <c r="D47" s="19" t="n"/>
      <c r="E47" s="20" t="n"/>
    </row>
    <row r="48">
      <c r="A48" s="21" t="n"/>
      <c r="B48" s="21" t="inlineStr">
        <is>
          <t>Total portfolio</t>
        </is>
      </c>
      <c r="C48" s="39" t="n">
        <v>18733127.73</v>
      </c>
      <c r="D48" s="19">
        <f>C48/$C$51</f>
        <v/>
      </c>
    </row>
    <row r="49">
      <c r="B49" s="21" t="inlineStr">
        <is>
          <t>Net Current Assets</t>
        </is>
      </c>
      <c r="C49" s="39" t="n">
        <v>135175.21</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6.xml><?xml version="1.0" encoding="utf-8"?>
<worksheet xmlns="http://schemas.openxmlformats.org/spreadsheetml/2006/main">
  <sheetPr>
    <outlinePr summaryBelow="1" summaryRight="1"/>
    <pageSetUpPr/>
  </sheetPr>
  <dimension ref="A1:N55"/>
  <sheetViews>
    <sheetView topLeftCell="A4"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7"/>
    <col hidden="1" style="3" min="8" max="8"/>
    <col width="9.140625" customWidth="1" style="3" min="9"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November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17002248.27</v>
      </c>
      <c r="B12" s="2" t="inlineStr">
        <is>
          <t>JPM GBP LIQUIDITY LVNAV X (DIST.)</t>
        </is>
      </c>
      <c r="C12" s="18" t="n">
        <v>17002248.27</v>
      </c>
      <c r="D12" s="19">
        <f>C12/$C$51</f>
        <v/>
      </c>
      <c r="E12" s="38" t="inlineStr">
        <is>
          <t>5819115</t>
        </is>
      </c>
      <c r="H12" s="3">
        <f>IF(B12="Subtotal"," ",(VLOOKUP(B12,'February 2023'!$B$12:$E$112,4,0)))</f>
        <v/>
      </c>
    </row>
    <row r="13">
      <c r="A13" s="28" t="n">
        <v>362649</v>
      </c>
      <c r="B13" s="2" t="inlineStr">
        <is>
          <t>LUKOIL PJSC COMMON STOCK RUB 0.025 RUB</t>
        </is>
      </c>
      <c r="C13" s="18" t="n">
        <v>257689.18</v>
      </c>
      <c r="D13" s="19">
        <f>C13/$C$51</f>
        <v/>
      </c>
      <c r="E13" s="38" t="inlineStr">
        <is>
          <t>2H6442S</t>
        </is>
      </c>
      <c r="H13" s="3">
        <f>IF(B13="Subtotal"," ",(VLOOKUP(B13,'February 2023'!$B$12:$E$112,4,0)))</f>
        <v/>
      </c>
    </row>
    <row r="14">
      <c r="A14" s="28" t="n">
        <v>262047</v>
      </c>
      <c r="B14" s="2" t="inlineStr">
        <is>
          <t>LUKOIL PJSC COMMON STOCK RUB</t>
        </is>
      </c>
      <c r="C14" s="18" t="n">
        <v>137215.86</v>
      </c>
      <c r="D14" s="19">
        <f>C14/$C$51</f>
        <v/>
      </c>
      <c r="E14" s="20" t="inlineStr">
        <is>
          <t>0H5797S</t>
        </is>
      </c>
      <c r="H14" s="3">
        <f>IF(B14="Subtotal"," ",(VLOOKUP(B14,'February 2023'!$B$12:$E$112,4,0)))</f>
        <v/>
      </c>
    </row>
    <row r="15" customFormat="1" s="35">
      <c r="A15" s="30" t="n"/>
      <c r="B15" s="27" t="inlineStr">
        <is>
          <t>Subtotal</t>
        </is>
      </c>
      <c r="C15" s="29">
        <f>+C14+C13</f>
        <v/>
      </c>
      <c r="D15" s="31">
        <f>C15/$C$51</f>
        <v/>
      </c>
      <c r="E15" s="34" t="inlineStr">
        <is>
          <t> </t>
        </is>
      </c>
      <c r="G15" s="3" t="n"/>
      <c r="H15" s="3">
        <f>IF(B15="Subtotal"," ",(VLOOKUP(B15,'February 2023'!$B$12:$E$112,4,0)))</f>
        <v/>
      </c>
    </row>
    <row r="16">
      <c r="A16" s="28" t="n">
        <v>8860909</v>
      </c>
      <c r="B16" s="2" t="inlineStr">
        <is>
          <t>GAZPROM PJSC COMMON STOCK RUB</t>
        </is>
      </c>
      <c r="C16" s="18" t="n">
        <v>214277.91</v>
      </c>
      <c r="D16" s="19">
        <f>C16/$C$51</f>
        <v/>
      </c>
      <c r="E16" s="38" t="inlineStr">
        <is>
          <t>0H5796S</t>
        </is>
      </c>
      <c r="H16" s="3">
        <f>IF(B16="Subtotal"," ",(VLOOKUP(B16,'February 2023'!$B$12:$E$112,4,0)))</f>
        <v/>
      </c>
    </row>
    <row r="17">
      <c r="A17" s="28" t="n">
        <v>5365084</v>
      </c>
      <c r="B17" s="2" t="inlineStr">
        <is>
          <t>GAZPROM PJSC ADR</t>
        </is>
      </c>
      <c r="C17" s="18" t="n">
        <v>26192.46</v>
      </c>
      <c r="D17" s="19">
        <f>C17/$C$51</f>
        <v/>
      </c>
      <c r="E17" s="38" t="inlineStr">
        <is>
          <t>0H6364S</t>
        </is>
      </c>
      <c r="H17" s="3">
        <f>IF(B17="Subtotal"," ",(VLOOKUP(B17,'February 2023'!$B$12:$E$112,4,0)))</f>
        <v/>
      </c>
    </row>
    <row r="18" customFormat="1" s="35">
      <c r="A18" s="30" t="n"/>
      <c r="B18" s="27" t="inlineStr">
        <is>
          <t>Subtotal</t>
        </is>
      </c>
      <c r="C18" s="29">
        <f>+C17+C16</f>
        <v/>
      </c>
      <c r="D18" s="31">
        <f>C18/$C$51</f>
        <v/>
      </c>
      <c r="E18" s="34" t="inlineStr">
        <is>
          <t> </t>
        </is>
      </c>
      <c r="G18" s="3" t="n"/>
      <c r="H18" s="3">
        <f>IF(B18="Subtotal"," ",(VLOOKUP(B18,'February 2023'!$B$12:$E$112,4,0)))</f>
        <v/>
      </c>
    </row>
    <row r="19">
      <c r="A19" s="28" t="n">
        <v>1268490</v>
      </c>
      <c r="B19" s="2" t="inlineStr">
        <is>
          <t>NOVATEK PJSC COMMON STOCK RUB 0.1</t>
        </is>
      </c>
      <c r="C19" s="18" t="n">
        <v>221950.48</v>
      </c>
      <c r="D19" s="19">
        <f>C19/$C$51</f>
        <v/>
      </c>
      <c r="E19" s="20" t="inlineStr">
        <is>
          <t>2H6464S</t>
        </is>
      </c>
      <c r="H19" s="3">
        <f>IF(B19="Subtotal"," ",(VLOOKUP(B19,'February 2023'!$B$12:$E$112,4,0)))</f>
        <v/>
      </c>
    </row>
    <row r="20">
      <c r="A20" s="28" t="n">
        <v>103572</v>
      </c>
      <c r="B20" s="2" t="inlineStr">
        <is>
          <t>NOVATEK PJSC COMMON STOCK RUB 0.1</t>
        </is>
      </c>
      <c r="C20" s="18" t="n">
        <v>13354.47</v>
      </c>
      <c r="D20" s="19">
        <f>C20/$C$51</f>
        <v/>
      </c>
      <c r="E20" s="20" t="inlineStr">
        <is>
          <t>2H6464S</t>
        </is>
      </c>
      <c r="H20" s="3">
        <f>IF(B20="Subtotal"," ",(VLOOKUP(B20,'February 2023'!$B$12:$E$112,4,0)))</f>
        <v/>
      </c>
    </row>
    <row r="21" customFormat="1" s="35">
      <c r="A21" s="30" t="n"/>
      <c r="B21" s="27" t="inlineStr">
        <is>
          <t>Subtotal</t>
        </is>
      </c>
      <c r="C21" s="29">
        <f>+C20+C19</f>
        <v/>
      </c>
      <c r="D21" s="31">
        <f>C21/$C$51</f>
        <v/>
      </c>
      <c r="E21" s="34" t="inlineStr">
        <is>
          <t> </t>
        </is>
      </c>
      <c r="G21" s="3" t="n"/>
      <c r="H21" s="3">
        <f>IF(B21="Subtotal"," ",(VLOOKUP(B21,'February 2023'!$B$12:$E$112,4,0)))</f>
        <v/>
      </c>
    </row>
    <row r="22">
      <c r="A22" s="28" t="n">
        <v>14455036</v>
      </c>
      <c r="B22" s="2" t="inlineStr">
        <is>
          <t>SBERBANK OF RUSSIA PJSC PREFERENCE RUB 3</t>
        </is>
      </c>
      <c r="C22" s="18" t="n">
        <v>192830.6</v>
      </c>
      <c r="D22" s="19">
        <f>C22/$C$51</f>
        <v/>
      </c>
      <c r="E22" s="20" t="inlineStr">
        <is>
          <t>0H5856S</t>
        </is>
      </c>
      <c r="H22" s="3">
        <f>IF(B22="Subtotal"," ",(VLOOKUP(B22,'February 2023'!$B$12:$E$112,4,0)))</f>
        <v/>
      </c>
    </row>
    <row r="23">
      <c r="A23" s="28" t="n">
        <v>2355925</v>
      </c>
      <c r="B23" s="2" t="inlineStr">
        <is>
          <t>SBERBANK OF RUSSIA PJSC</t>
        </is>
      </c>
      <c r="C23" s="18" t="n">
        <v>31200.97</v>
      </c>
      <c r="D23" s="19">
        <f>C23/$C$51</f>
        <v/>
      </c>
      <c r="E23" s="20" t="inlineStr">
        <is>
          <t>0H5855S</t>
        </is>
      </c>
      <c r="H23" s="3">
        <f>IF(B23="Subtotal"," ",(VLOOKUP(B23,'February 2023'!$B$12:$E$112,4,0)))</f>
        <v/>
      </c>
    </row>
    <row r="24" customFormat="1" s="35">
      <c r="A24" s="30" t="n"/>
      <c r="B24" s="27" t="inlineStr">
        <is>
          <t>Subtotal</t>
        </is>
      </c>
      <c r="C24" s="29">
        <f>+C23+C22</f>
        <v/>
      </c>
      <c r="D24" s="31">
        <f>C24/$C$51</f>
        <v/>
      </c>
      <c r="E24" s="34" t="inlineStr">
        <is>
          <t> </t>
        </is>
      </c>
      <c r="G24" s="3" t="n"/>
      <c r="H24" s="3">
        <f>IF(B24="Subtotal"," ",(VLOOKUP(B24,'February 2023'!$B$12:$E$112,4,0)))</f>
        <v/>
      </c>
    </row>
    <row r="25">
      <c r="A25" s="30" t="n">
        <v>71192</v>
      </c>
      <c r="B25" s="2" t="inlineStr">
        <is>
          <t>MMC NORILSK NICKEL PJSC COMMON STOCK RUB 1</t>
        </is>
      </c>
      <c r="C25" s="33" t="n">
        <v>144496.48</v>
      </c>
      <c r="D25" s="19">
        <f>C25/$C$51</f>
        <v/>
      </c>
      <c r="E25" s="38" t="inlineStr">
        <is>
          <t>0H5804S</t>
        </is>
      </c>
      <c r="H25" s="3">
        <f>IF(B25="Subtotal"," ",(VLOOKUP(B25,'February 2023'!$B$12:$E$112,4,0)))</f>
        <v/>
      </c>
    </row>
    <row r="26">
      <c r="A26" s="28" t="n">
        <v>1677948</v>
      </c>
      <c r="B26" s="2" t="inlineStr">
        <is>
          <t>ROSNEFT OIL CO PJSC COMMON STOCK RUB</t>
        </is>
      </c>
      <c r="C26" s="18" t="n">
        <v>71258.49000000001</v>
      </c>
      <c r="D26" s="19">
        <f>C26/$C$51</f>
        <v/>
      </c>
      <c r="E26" s="20" t="inlineStr">
        <is>
          <t>2H7674S</t>
        </is>
      </c>
      <c r="H26" s="3">
        <f>IF(B26="Subtotal"," ",(VLOOKUP(B26,'February 2023'!$B$12:$E$112,4,0)))</f>
        <v/>
      </c>
    </row>
    <row r="27">
      <c r="A27" s="28" t="n">
        <v>2041744</v>
      </c>
      <c r="B27" s="2" t="inlineStr">
        <is>
          <t>ROSNEFT OIL CO PJSC COMMON STOCK RUB 0.01</t>
        </is>
      </c>
      <c r="C27" s="18" t="n">
        <v>63818.73</v>
      </c>
      <c r="D27" s="19">
        <f>C27/$C$51</f>
        <v/>
      </c>
      <c r="E27" s="20" t="inlineStr">
        <is>
          <t>0H5827S</t>
        </is>
      </c>
      <c r="H27" s="3">
        <f>IF(B27="Subtotal"," ",(VLOOKUP(B27,'February 2023'!$B$12:$E$112,4,0)))</f>
        <v/>
      </c>
    </row>
    <row r="28" customFormat="1" s="35">
      <c r="A28" s="30" t="n"/>
      <c r="B28" s="27" t="inlineStr">
        <is>
          <t>Subtotal</t>
        </is>
      </c>
      <c r="C28" s="29">
        <f>+C27+C26</f>
        <v/>
      </c>
      <c r="D28" s="31">
        <f>C28/$C$51</f>
        <v/>
      </c>
      <c r="E28" s="34" t="inlineStr">
        <is>
          <t> </t>
        </is>
      </c>
      <c r="G28" s="3" t="n"/>
      <c r="H28" s="3">
        <f>IF(B28="Subtotal"," ",(VLOOKUP(B28,'February 2023'!$B$12:$E$112,4,0)))</f>
        <v/>
      </c>
    </row>
    <row r="29">
      <c r="A29" s="28" t="n">
        <v>3657350</v>
      </c>
      <c r="B29" s="2" t="inlineStr">
        <is>
          <t>NOVOLIPETSK STEEL PJSC COMMON STOCK RUB</t>
        </is>
      </c>
      <c r="C29" s="18" t="n">
        <v>94552.98</v>
      </c>
      <c r="D29" s="19">
        <f>C29/$C$51</f>
        <v/>
      </c>
      <c r="E29" s="20" t="inlineStr">
        <is>
          <t>2H7675S</t>
        </is>
      </c>
      <c r="H29" s="3">
        <f>IF(B29="Subtotal"," ",(VLOOKUP(B29,'February 2023'!$B$12:$E$112,4,0)))</f>
        <v/>
      </c>
    </row>
    <row r="30">
      <c r="A30" s="30" t="n">
        <v>180877</v>
      </c>
      <c r="B30" s="2" t="inlineStr">
        <is>
          <t>MAGNIT PJSC COMMON STOCK RUB 0.01</t>
        </is>
      </c>
      <c r="C30" s="18" t="n">
        <v>56903.78</v>
      </c>
      <c r="D30" s="19">
        <f>C30/$C$51</f>
        <v/>
      </c>
      <c r="E30" s="20" t="inlineStr">
        <is>
          <t>0H5813S</t>
        </is>
      </c>
      <c r="H30" s="3">
        <f>IF(B30="Subtotal"," ",(VLOOKUP(B30,'February 2023'!$B$12:$E$112,4,0)))</f>
        <v/>
      </c>
    </row>
    <row r="31">
      <c r="A31" s="28" t="n">
        <v>1265335</v>
      </c>
      <c r="B31" s="2" t="inlineStr">
        <is>
          <t>GAZPROM NEFT PJSC COMMON STOCK RUB</t>
        </is>
      </c>
      <c r="C31" s="18" t="n">
        <v>51422.12</v>
      </c>
      <c r="D31" s="19">
        <f>C31/$C$51</f>
        <v/>
      </c>
      <c r="E31" s="38" t="inlineStr">
        <is>
          <t>0H5803S</t>
        </is>
      </c>
      <c r="H31" s="3">
        <f>IF(B31="Subtotal"," ",(VLOOKUP(B31,'February 2023'!$B$12:$E$112,4,0)))</f>
        <v/>
      </c>
    </row>
    <row r="32">
      <c r="A32" s="28" t="n">
        <v>730066</v>
      </c>
      <c r="B32" s="2" t="inlineStr">
        <is>
          <t>TATNEFT PJSC COMMON STOCK RUB</t>
        </is>
      </c>
      <c r="C32" s="18" t="n">
        <v>27809.94</v>
      </c>
      <c r="D32" s="19">
        <f>C32/$C$51</f>
        <v/>
      </c>
      <c r="E32" s="38" t="inlineStr">
        <is>
          <t>0H5822S</t>
        </is>
      </c>
      <c r="H32" s="3">
        <f>IF(B32="Subtotal"," ",(VLOOKUP(B32,'February 2023'!$B$12:$E$112,4,0)))</f>
        <v/>
      </c>
    </row>
    <row r="33">
      <c r="A33" s="30" t="n">
        <v>571359</v>
      </c>
      <c r="B33" s="2" t="inlineStr">
        <is>
          <t>TATNEFT PJSC PREFERENCE RUB 1</t>
        </is>
      </c>
      <c r="C33" s="18" t="n">
        <v>19273.93</v>
      </c>
      <c r="D33" s="19">
        <f>C33/$C$51</f>
        <v/>
      </c>
      <c r="E33" s="38" t="inlineStr">
        <is>
          <t>0H5816S</t>
        </is>
      </c>
      <c r="F33" s="18" t="n"/>
      <c r="H33" s="3">
        <f>IF(B33="Subtotal"," ",(VLOOKUP(B33,'February 2023'!$B$12:$E$112,4,0)))</f>
        <v/>
      </c>
    </row>
    <row r="34" customFormat="1" s="35">
      <c r="A34" s="30" t="n"/>
      <c r="B34" s="27" t="inlineStr">
        <is>
          <t>Subtotal</t>
        </is>
      </c>
      <c r="C34" s="29">
        <f>+C33+C32</f>
        <v/>
      </c>
      <c r="D34" s="31">
        <f>C34/$C$51</f>
        <v/>
      </c>
      <c r="E34" s="34" t="inlineStr">
        <is>
          <t> </t>
        </is>
      </c>
      <c r="G34" s="3" t="n"/>
      <c r="H34" s="3">
        <f>IF(B34="Subtotal"," ",(VLOOKUP(B34,'February 2023'!$B$12:$E$112,4,0)))</f>
        <v/>
      </c>
    </row>
    <row r="35">
      <c r="A35" s="28" t="n">
        <v>29773</v>
      </c>
      <c r="B35" s="2" t="inlineStr">
        <is>
          <t>POLYUS PJSC COMMON STOCK RUB</t>
        </is>
      </c>
      <c r="C35" s="18" t="n">
        <v>45665.79</v>
      </c>
      <c r="D35" s="19">
        <f>C35/$C$51</f>
        <v/>
      </c>
      <c r="E35" s="20" t="inlineStr">
        <is>
          <t>2H7182S</t>
        </is>
      </c>
      <c r="H35" s="3">
        <f>IF(B35="Subtotal"," ",(VLOOKUP(B35,'February 2023'!$B$12:$E$112,4,0)))</f>
        <v/>
      </c>
    </row>
    <row r="36">
      <c r="A36" s="28" t="n">
        <v>6156103</v>
      </c>
      <c r="B36" s="2" t="inlineStr">
        <is>
          <t>ROSTELECOM PJSC COMMON STOCK RUB</t>
        </is>
      </c>
      <c r="C36" s="18" t="n">
        <v>44356.82</v>
      </c>
      <c r="D36" s="19">
        <f>C36/$C$51</f>
        <v/>
      </c>
      <c r="E36" s="20" t="inlineStr">
        <is>
          <t>0H5802S</t>
        </is>
      </c>
      <c r="H36" s="3">
        <f>IF(B36="Subtotal"," ",(VLOOKUP(B36,'February 2023'!$B$12:$E$112,4,0)))</f>
        <v/>
      </c>
    </row>
    <row r="37">
      <c r="A37" s="28" t="n">
        <v>21233273216</v>
      </c>
      <c r="B37" s="2" t="inlineStr">
        <is>
          <t>VTB BANK PJSC COMMON STOCK RUB 0.01</t>
        </is>
      </c>
      <c r="C37" s="18" t="n">
        <v>42434.45</v>
      </c>
      <c r="D37" s="19">
        <f>C37/$C$51</f>
        <v/>
      </c>
      <c r="E37" s="20" t="inlineStr">
        <is>
          <t>0H5837S</t>
        </is>
      </c>
      <c r="H37" s="3">
        <f>IF(B37="Subtotal"," ",(VLOOKUP(B37,'February 2023'!$B$12:$E$112,4,0)))</f>
        <v/>
      </c>
    </row>
    <row r="38">
      <c r="A38" s="28" t="n">
        <v>4003270</v>
      </c>
      <c r="B38" s="2" t="inlineStr">
        <is>
          <t>DETSKY MIR PJSC COMMON STOCK RUB 0.0004</t>
        </is>
      </c>
      <c r="C38" s="18" t="n">
        <v>34818.6</v>
      </c>
      <c r="D38" s="19">
        <f>C38/$C$51</f>
        <v/>
      </c>
      <c r="E38" s="20" t="inlineStr">
        <is>
          <t>0H5850S</t>
        </is>
      </c>
      <c r="H38" s="3">
        <f>IF(B38="Subtotal"," ",(VLOOKUP(B38,'February 2023'!$B$12:$E$112,4,0)))</f>
        <v/>
      </c>
      <c r="L38" s="24" t="n"/>
      <c r="N38" s="25" t="n"/>
    </row>
    <row r="39">
      <c r="A39" s="30" t="n">
        <v>169819</v>
      </c>
      <c r="B39" s="2" t="inlineStr">
        <is>
          <t>YANDEX NV COMMON STOCK USD 0.01</t>
        </is>
      </c>
      <c r="C39" s="18" t="n">
        <v>27007.91</v>
      </c>
      <c r="D39" s="19">
        <f>C39/$C$51</f>
        <v/>
      </c>
      <c r="E39" s="20" t="inlineStr">
        <is>
          <t>0H6379S</t>
        </is>
      </c>
      <c r="H39" s="3">
        <f>IF(B39="Subtotal"," ",(VLOOKUP(B39,'February 2023'!$B$12:$E$112,4,0)))</f>
        <v/>
      </c>
    </row>
    <row r="40">
      <c r="A40" s="28" t="n">
        <v>432517</v>
      </c>
      <c r="B40" s="2" t="inlineStr">
        <is>
          <t>MD MEDICAL GROUP INVESTMENTS PLC GDR USD</t>
        </is>
      </c>
      <c r="C40" s="18" t="n">
        <v>20701.55</v>
      </c>
      <c r="D40" s="19">
        <f>C40/$C$51</f>
        <v/>
      </c>
      <c r="E40" s="20" t="inlineStr">
        <is>
          <t>0H6371S</t>
        </is>
      </c>
      <c r="H40" s="3">
        <f>IF(B40="Subtotal"," ",(VLOOKUP(B40,'February 2023'!$B$12:$E$112,4,0)))</f>
        <v/>
      </c>
    </row>
    <row r="41">
      <c r="A41" s="28" t="n">
        <v>12313057</v>
      </c>
      <c r="B41" s="2" t="inlineStr">
        <is>
          <t>SISTEMA PJSFC COMMON STOCK RUB 0.09</t>
        </is>
      </c>
      <c r="C41" s="18" t="n">
        <v>15559.69</v>
      </c>
      <c r="D41" s="19">
        <f>C41/$C$51</f>
        <v/>
      </c>
      <c r="E41" s="20" t="inlineStr">
        <is>
          <t>0H5808S</t>
        </is>
      </c>
      <c r="H41" s="3">
        <f>IF(B41="Subtotal"," ",(VLOOKUP(B41,'February 2023'!$B$12:$E$112,4,0)))</f>
        <v/>
      </c>
    </row>
    <row r="42">
      <c r="A42" s="28" t="n">
        <v>577525</v>
      </c>
      <c r="B42" s="2" t="inlineStr">
        <is>
          <t>FIX PRICE GROUP LTD GDR</t>
        </is>
      </c>
      <c r="C42" s="18" t="n">
        <v>4558.52</v>
      </c>
      <c r="D42" s="19">
        <f>C42/$C$51</f>
        <v/>
      </c>
      <c r="E42" s="20" t="inlineStr">
        <is>
          <t>0H6372S</t>
        </is>
      </c>
      <c r="H42" s="3">
        <f>IF(B42="Subtotal"," ",(VLOOKUP(B42,'February 2023'!$B$12:$E$112,4,0)))</f>
        <v/>
      </c>
    </row>
    <row r="43">
      <c r="A43" s="28" t="n">
        <v>75226</v>
      </c>
      <c r="B43" s="2" t="inlineStr">
        <is>
          <t>TCS GROUP HOLDING PLC GDR</t>
        </is>
      </c>
      <c r="C43" s="18" t="n">
        <v>2016.94</v>
      </c>
      <c r="D43" s="19">
        <f>C43/$C$51</f>
        <v/>
      </c>
      <c r="E43" s="20" t="inlineStr">
        <is>
          <t>0H6380S</t>
        </is>
      </c>
      <c r="H43" s="3">
        <f>IF(B43="Subtotal"," ",(VLOOKUP(B43,'February 2023'!$B$12:$E$112,4,0)))</f>
        <v/>
      </c>
    </row>
    <row r="44">
      <c r="A44" s="30" t="n">
        <v>275182</v>
      </c>
      <c r="B44" s="2" t="inlineStr">
        <is>
          <t>X 5 RETAIL GROUP NV-REGS GDR</t>
        </is>
      </c>
      <c r="C44" s="33" t="n">
        <v>1227.91</v>
      </c>
      <c r="D44" s="19">
        <f>C44/$C$51</f>
        <v/>
      </c>
      <c r="E44" s="20" t="inlineStr">
        <is>
          <t>0H6365S</t>
        </is>
      </c>
      <c r="H44" s="3">
        <f>IF(B44="Subtotal"," ",(VLOOKUP(B44,'February 2023'!$B$12:$E$112,4,0)))</f>
        <v/>
      </c>
    </row>
    <row r="45">
      <c r="A45" s="28" t="n">
        <v>552780</v>
      </c>
      <c r="B45" s="2" t="inlineStr">
        <is>
          <t>SEVERSTAL PAO GDR USD</t>
        </is>
      </c>
      <c r="C45" s="18" t="n">
        <v>278.97</v>
      </c>
      <c r="D45" s="19">
        <f>C45/$C$51</f>
        <v/>
      </c>
      <c r="E45" s="20" t="inlineStr">
        <is>
          <t>0H6368S</t>
        </is>
      </c>
      <c r="H45" s="3">
        <f>IF(B45="Subtotal"," ",(VLOOKUP(B45,'February 2023'!$B$12:$E$112,4,0)))</f>
        <v/>
      </c>
    </row>
    <row r="46">
      <c r="A46" s="28" t="n"/>
      <c r="C46" s="18" t="n"/>
      <c r="D46" s="19" t="n"/>
      <c r="E46" s="20" t="n"/>
    </row>
    <row r="47">
      <c r="C47" s="18" t="n"/>
      <c r="D47" s="19" t="n"/>
      <c r="E47" s="20" t="n"/>
    </row>
    <row r="48">
      <c r="A48" s="21" t="n"/>
      <c r="B48" s="21" t="inlineStr">
        <is>
          <t>Total portfolio</t>
        </is>
      </c>
      <c r="C48" s="39" t="n">
        <v>18865123.8</v>
      </c>
      <c r="D48" s="19">
        <f>C48/$C$51</f>
        <v/>
      </c>
    </row>
    <row r="49">
      <c r="B49" s="21" t="inlineStr">
        <is>
          <t>Net Current Assets</t>
        </is>
      </c>
      <c r="C49" s="39" t="n">
        <v>43344.18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7.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Emerging Europe, Middle East &amp; Africa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October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16981316.3</v>
      </c>
      <c r="B12" s="2" t="inlineStr">
        <is>
          <t>JPM GBP LIQUIDITY LVNAV X (DIST.)</t>
        </is>
      </c>
      <c r="C12" s="18" t="n">
        <v>16981316.3</v>
      </c>
      <c r="D12" s="19">
        <f>C12/$C$51</f>
        <v/>
      </c>
      <c r="E12" s="38" t="inlineStr">
        <is>
          <t>5819115</t>
        </is>
      </c>
      <c r="G12" s="3">
        <f>IF(B12="Subtotal"," ",(VLOOKUP(B12,'February 2023'!$B$12:$E$112,4,0)))</f>
        <v/>
      </c>
    </row>
    <row r="13">
      <c r="A13" s="28" t="n">
        <v>362649</v>
      </c>
      <c r="B13" s="2" t="inlineStr">
        <is>
          <t>LUKOIL PJSC COMMON STOCK RUB 0.025 RUB</t>
        </is>
      </c>
      <c r="C13" s="18" t="n">
        <v>263085.1</v>
      </c>
      <c r="D13" s="19">
        <f>C13/$C$51</f>
        <v/>
      </c>
      <c r="E13" s="38" t="inlineStr">
        <is>
          <t>2H6442S</t>
        </is>
      </c>
      <c r="G13" s="3">
        <f>IF(B13="Subtotal"," ",(VLOOKUP(B13,'February 2023'!$B$12:$E$112,4,0)))</f>
        <v/>
      </c>
    </row>
    <row r="14">
      <c r="A14" s="28" t="n">
        <v>262047</v>
      </c>
      <c r="B14" s="2" t="inlineStr">
        <is>
          <t>LUKOIL PJSC COMMON STOCK RUB</t>
        </is>
      </c>
      <c r="C14" s="18" t="n">
        <v>141929.36</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221638.56</v>
      </c>
      <c r="D16" s="19">
        <f>C16/$C$51</f>
        <v/>
      </c>
      <c r="E16" s="38" t="inlineStr">
        <is>
          <t>0H5796S</t>
        </is>
      </c>
      <c r="G16" s="3">
        <f>IF(B16="Subtotal"," ",(VLOOKUP(B16,'February 2023'!$B$12:$E$112,4,0)))</f>
        <v/>
      </c>
    </row>
    <row r="17">
      <c r="A17" s="28" t="n">
        <v>5365084</v>
      </c>
      <c r="B17" s="2" t="inlineStr">
        <is>
          <t>GAZPROM PJSC ADR</t>
        </is>
      </c>
      <c r="C17" s="18" t="n">
        <v>27092.2</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226598.05</v>
      </c>
      <c r="D19" s="19">
        <f>C19/$C$51</f>
        <v/>
      </c>
      <c r="E19" s="20" t="inlineStr">
        <is>
          <t>2H6464S</t>
        </is>
      </c>
      <c r="G19" s="3">
        <f>IF(B19="Subtotal"," ",(VLOOKUP(B19,'February 2023'!$B$12:$E$112,4,0)))</f>
        <v/>
      </c>
    </row>
    <row r="20">
      <c r="A20" s="28" t="n">
        <v>103572</v>
      </c>
      <c r="B20" s="2" t="inlineStr">
        <is>
          <t>NOVATEK PJSC COMMON STOCK RUB 0.1</t>
        </is>
      </c>
      <c r="C20" s="18" t="n">
        <v>13813.21</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199454.52</v>
      </c>
      <c r="D22" s="19">
        <f>C22/$C$51</f>
        <v/>
      </c>
      <c r="E22" s="20" t="inlineStr">
        <is>
          <t>0H5856S</t>
        </is>
      </c>
      <c r="G22" s="3">
        <f>IF(B22="Subtotal"," ",(VLOOKUP(B22,'February 2023'!$B$12:$E$112,4,0)))</f>
        <v/>
      </c>
    </row>
    <row r="23">
      <c r="A23" s="28" t="n">
        <v>2355925</v>
      </c>
      <c r="B23" s="2" t="inlineStr">
        <is>
          <t>SBERBANK OF RUSSIA PJSC</t>
        </is>
      </c>
      <c r="C23" s="18" t="n">
        <v>32272.75</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149460.08</v>
      </c>
      <c r="D25" s="19">
        <f>C25/$C$51</f>
        <v/>
      </c>
      <c r="E25" s="38" t="inlineStr">
        <is>
          <t>0H5804S</t>
        </is>
      </c>
      <c r="G25" s="3">
        <f>IF(B25="Subtotal"," ",(VLOOKUP(B25,'February 2023'!$B$12:$E$112,4,0)))</f>
        <v/>
      </c>
    </row>
    <row r="26">
      <c r="A26" s="28" t="n">
        <v>1677948</v>
      </c>
      <c r="B26" s="2" t="inlineStr">
        <is>
          <t>ROSNEFT OIL CO PJSC COMMON STOCK RUB</t>
        </is>
      </c>
      <c r="C26" s="18" t="n">
        <v>72750.62</v>
      </c>
      <c r="D26" s="19">
        <f>C26/$C$51</f>
        <v/>
      </c>
      <c r="E26" s="20" t="inlineStr">
        <is>
          <t>2H7674S</t>
        </is>
      </c>
      <c r="G26" s="3">
        <f>IF(B26="Subtotal"," ",(VLOOKUP(B26,'February 2023'!$B$12:$E$112,4,0)))</f>
        <v/>
      </c>
    </row>
    <row r="27">
      <c r="A27" s="28" t="n">
        <v>2041744</v>
      </c>
      <c r="B27" s="2" t="inlineStr">
        <is>
          <t>ROSNEFT OIL CO PJSC COMMON STOCK RUB 0.01</t>
        </is>
      </c>
      <c r="C27" s="18" t="n">
        <v>66010.96000000001</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96532.89</v>
      </c>
      <c r="D29" s="19">
        <f>C29/$C$51</f>
        <v/>
      </c>
      <c r="E29" s="20" t="inlineStr">
        <is>
          <t>2H7675S</t>
        </is>
      </c>
      <c r="G29" s="3">
        <f>IF(B29="Subtotal"," ",(VLOOKUP(B29,'February 2023'!$B$12:$E$112,4,0)))</f>
        <v/>
      </c>
    </row>
    <row r="30">
      <c r="A30" s="30" t="n">
        <v>180877</v>
      </c>
      <c r="B30" s="2" t="inlineStr">
        <is>
          <t>MAGNIT PJSC COMMON STOCK RUB 0.01</t>
        </is>
      </c>
      <c r="C30" s="18" t="n">
        <v>58858.48</v>
      </c>
      <c r="D30" s="19">
        <f>C30/$C$51</f>
        <v/>
      </c>
      <c r="E30" s="20" t="inlineStr">
        <is>
          <t>0H5813S</t>
        </is>
      </c>
      <c r="G30" s="3">
        <f>IF(B30="Subtotal"," ",(VLOOKUP(B30,'February 2023'!$B$12:$E$112,4,0)))</f>
        <v/>
      </c>
    </row>
    <row r="31">
      <c r="A31" s="28" t="n">
        <v>1265335</v>
      </c>
      <c r="B31" s="2" t="inlineStr">
        <is>
          <t>GAZPROM NEFT PJSC COMMON STOCK RUB</t>
        </is>
      </c>
      <c r="C31" s="18" t="n">
        <v>53188.52</v>
      </c>
      <c r="D31" s="19">
        <f>C31/$C$51</f>
        <v/>
      </c>
      <c r="E31" s="38" t="inlineStr">
        <is>
          <t>0H5803S</t>
        </is>
      </c>
      <c r="G31" s="3">
        <f>IF(B31="Subtotal"," ",(VLOOKUP(B31,'February 2023'!$B$12:$E$112,4,0)))</f>
        <v/>
      </c>
    </row>
    <row r="32">
      <c r="A32" s="28" t="n">
        <v>730066</v>
      </c>
      <c r="B32" s="2" t="inlineStr">
        <is>
          <t>TATNEFT PJSC COMMON STOCK RUB</t>
        </is>
      </c>
      <c r="C32" s="18" t="n">
        <v>28765.24</v>
      </c>
      <c r="D32" s="19">
        <f>C32/$C$51</f>
        <v/>
      </c>
      <c r="E32" s="38" t="inlineStr">
        <is>
          <t>0H5822S</t>
        </is>
      </c>
      <c r="G32" s="3">
        <f>IF(B32="Subtotal"," ",(VLOOKUP(B32,'February 2023'!$B$12:$E$112,4,0)))</f>
        <v/>
      </c>
    </row>
    <row r="33">
      <c r="A33" s="30" t="n">
        <v>571359</v>
      </c>
      <c r="B33" s="2" t="inlineStr">
        <is>
          <t>TATNEFT PJSC PREFERENCE RUB 1</t>
        </is>
      </c>
      <c r="C33" s="18" t="n">
        <v>19936.01</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46622.02</v>
      </c>
      <c r="D35" s="19">
        <f>C35/$C$51</f>
        <v/>
      </c>
      <c r="E35" s="20" t="inlineStr">
        <is>
          <t>2H7182S</t>
        </is>
      </c>
      <c r="G35" s="3">
        <f>IF(B35="Subtotal"," ",(VLOOKUP(B35,'February 2023'!$B$12:$E$112,4,0)))</f>
        <v/>
      </c>
    </row>
    <row r="36">
      <c r="A36" s="28" t="n">
        <v>6156103</v>
      </c>
      <c r="B36" s="2" t="inlineStr">
        <is>
          <t>ROSTELECOM PJSC COMMON STOCK RUB</t>
        </is>
      </c>
      <c r="C36" s="18" t="n">
        <v>45880.52</v>
      </c>
      <c r="D36" s="19">
        <f>C36/$C$51</f>
        <v/>
      </c>
      <c r="E36" s="20" t="inlineStr">
        <is>
          <t>0H5802S</t>
        </is>
      </c>
      <c r="G36" s="3">
        <f>IF(B36="Subtotal"," ",(VLOOKUP(B36,'February 2023'!$B$12:$E$112,4,0)))</f>
        <v/>
      </c>
    </row>
    <row r="37">
      <c r="A37" s="28" t="n">
        <v>21233273216</v>
      </c>
      <c r="B37" s="2" t="inlineStr">
        <is>
          <t>VTB BANK PJSC COMMON STOCK RUB 0.01</t>
        </is>
      </c>
      <c r="C37" s="18" t="n">
        <v>43892.12</v>
      </c>
      <c r="D37" s="19">
        <f>C37/$C$51</f>
        <v/>
      </c>
      <c r="E37" s="20" t="inlineStr">
        <is>
          <t>0H5837S</t>
        </is>
      </c>
      <c r="G37" s="3">
        <f>IF(B37="Subtotal"," ",(VLOOKUP(B37,'February 2023'!$B$12:$E$112,4,0)))</f>
        <v/>
      </c>
    </row>
    <row r="38">
      <c r="A38" s="28" t="n">
        <v>4003270</v>
      </c>
      <c r="B38" s="2" t="inlineStr">
        <is>
          <t>DETSKY MIR PJSC COMMON STOCK RUB 0.0004</t>
        </is>
      </c>
      <c r="C38" s="18" t="n">
        <v>36014.65</v>
      </c>
      <c r="D38" s="19">
        <f>C38/$C$51</f>
        <v/>
      </c>
      <c r="E38" s="20" t="inlineStr">
        <is>
          <t>0H5850S</t>
        </is>
      </c>
      <c r="G38" s="3">
        <f>IF(B38="Subtotal"," ",(VLOOKUP(B38,'February 2023'!$B$12:$E$112,4,0)))</f>
        <v/>
      </c>
      <c r="L38" s="24" t="n"/>
      <c r="N38" s="25" t="n"/>
    </row>
    <row r="39">
      <c r="A39" s="30" t="n">
        <v>169819</v>
      </c>
      <c r="B39" s="2" t="inlineStr">
        <is>
          <t>YANDEX NV COMMON STOCK USD 0.01</t>
        </is>
      </c>
      <c r="C39" s="18" t="n">
        <v>27935.66</v>
      </c>
      <c r="D39" s="19">
        <f>C39/$C$51</f>
        <v/>
      </c>
      <c r="E39" s="20" t="inlineStr">
        <is>
          <t>0H6379S</t>
        </is>
      </c>
      <c r="G39" s="3">
        <f>IF(B39="Subtotal"," ",(VLOOKUP(B39,'February 2023'!$B$12:$E$112,4,0)))</f>
        <v/>
      </c>
    </row>
    <row r="40">
      <c r="A40" s="28" t="n">
        <v>432517</v>
      </c>
      <c r="B40" s="2" t="inlineStr">
        <is>
          <t>MD MEDICAL GROUP INVESTMENTS PLC GDR USD</t>
        </is>
      </c>
      <c r="C40" s="18" t="n">
        <v>21412.66</v>
      </c>
      <c r="D40" s="19">
        <f>C40/$C$51</f>
        <v/>
      </c>
      <c r="E40" s="20" t="inlineStr">
        <is>
          <t>0H6371S</t>
        </is>
      </c>
      <c r="G40" s="3">
        <f>IF(B40="Subtotal"," ",(VLOOKUP(B40,'February 2023'!$B$12:$E$112,4,0)))</f>
        <v/>
      </c>
    </row>
    <row r="41">
      <c r="A41" s="28" t="n">
        <v>12313057</v>
      </c>
      <c r="B41" s="2" t="inlineStr">
        <is>
          <t>SISTEMA PJSFC COMMON STOCK RUB 0.09</t>
        </is>
      </c>
      <c r="C41" s="18" t="n">
        <v>16094.19</v>
      </c>
      <c r="D41" s="19">
        <f>C41/$C$51</f>
        <v/>
      </c>
      <c r="E41" s="20" t="inlineStr">
        <is>
          <t>0H5808S</t>
        </is>
      </c>
      <c r="G41" s="3">
        <f>IF(B41="Subtotal"," ",(VLOOKUP(B41,'February 2023'!$B$12:$E$112,4,0)))</f>
        <v/>
      </c>
    </row>
    <row r="42">
      <c r="A42" s="28" t="n">
        <v>577525</v>
      </c>
      <c r="B42" s="2" t="inlineStr">
        <is>
          <t>FIX PRICE GROUP LTD GDR</t>
        </is>
      </c>
      <c r="C42" s="18" t="n">
        <v>4715.11</v>
      </c>
      <c r="D42" s="19">
        <f>C42/$C$51</f>
        <v/>
      </c>
      <c r="E42" s="20" t="inlineStr">
        <is>
          <t>0H6372S</t>
        </is>
      </c>
      <c r="G42" s="3">
        <f>IF(B42="Subtotal"," ",(VLOOKUP(B42,'February 2023'!$B$12:$E$112,4,0)))</f>
        <v/>
      </c>
    </row>
    <row r="43">
      <c r="A43" s="28" t="n">
        <v>75226</v>
      </c>
      <c r="B43" s="2" t="inlineStr">
        <is>
          <t>TCS GROUP HOLDING PLC GDR</t>
        </is>
      </c>
      <c r="C43" s="18" t="n">
        <v>2086.22</v>
      </c>
      <c r="D43" s="19">
        <f>C43/$C$51</f>
        <v/>
      </c>
      <c r="E43" s="20" t="inlineStr">
        <is>
          <t>0H6380S</t>
        </is>
      </c>
      <c r="G43" s="3">
        <f>IF(B43="Subtotal"," ",(VLOOKUP(B43,'February 2023'!$B$12:$E$112,4,0)))</f>
        <v/>
      </c>
    </row>
    <row r="44">
      <c r="A44" s="30" t="n">
        <v>275182</v>
      </c>
      <c r="B44" s="2" t="inlineStr">
        <is>
          <t>X 5 RETAIL GROUP NV-REGS GDR</t>
        </is>
      </c>
      <c r="C44" s="33" t="n">
        <v>1270.09</v>
      </c>
      <c r="D44" s="19">
        <f>C44/$C$51</f>
        <v/>
      </c>
      <c r="E44" s="20" t="inlineStr">
        <is>
          <t>0H6365S</t>
        </is>
      </c>
      <c r="G44" s="3">
        <f>IF(B44="Subtotal"," ",(VLOOKUP(B44,'February 2023'!$B$12:$E$112,4,0)))</f>
        <v/>
      </c>
    </row>
    <row r="45">
      <c r="A45" s="28" t="n">
        <v>552780</v>
      </c>
      <c r="B45" s="2" t="inlineStr">
        <is>
          <t>SEVERSTAL PAO GDR USD</t>
        </is>
      </c>
      <c r="C45" s="18" t="n">
        <v>288.55</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18898914.64</v>
      </c>
      <c r="D48" s="19">
        <f>C48/$C$51</f>
        <v/>
      </c>
    </row>
    <row r="49">
      <c r="B49" s="21" t="inlineStr">
        <is>
          <t>Net Current Assets</t>
        </is>
      </c>
      <c r="C49" s="39" t="n">
        <v>-18238.03</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8.xml><?xml version="1.0" encoding="utf-8"?>
<worksheet xmlns="http://schemas.openxmlformats.org/spreadsheetml/2006/main">
  <sheetPr>
    <outlinePr summaryBelow="1" summaryRight="1"/>
    <pageSetUpPr/>
  </sheetPr>
  <dimension ref="A1:N55"/>
  <sheetViews>
    <sheetView workbookViewId="0">
      <selection activeCell="E37" sqref="E37"/>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September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16981316.3</v>
      </c>
      <c r="B12" s="2" t="inlineStr">
        <is>
          <t>JPM GBP LIQUIDITY LVNAV X (DIST.)</t>
        </is>
      </c>
      <c r="C12" s="18" t="n">
        <v>16981316.3</v>
      </c>
      <c r="D12" s="19">
        <f>C12/$C$51</f>
        <v/>
      </c>
      <c r="E12" s="38" t="inlineStr">
        <is>
          <t>5819115</t>
        </is>
      </c>
      <c r="G12" s="3">
        <f>IF(B12="Subtotal"," ",(VLOOKUP(B12,'February 2023'!$B$12:$E$112,4,0)))</f>
        <v/>
      </c>
    </row>
    <row r="13">
      <c r="A13" s="28" t="n">
        <v>362649</v>
      </c>
      <c r="B13" s="2" t="inlineStr">
        <is>
          <t>LUKOIL PJSC COMMON STOCK RUB 0.025 RUB</t>
        </is>
      </c>
      <c r="C13" s="18" t="n">
        <v>273898.07</v>
      </c>
      <c r="D13" s="19">
        <f>C13/$C$51</f>
        <v/>
      </c>
      <c r="E13" s="38" t="inlineStr">
        <is>
          <t>2H6442S</t>
        </is>
      </c>
      <c r="G13" s="3">
        <f>IF(B13="Subtotal"," ",(VLOOKUP(B13,'February 2023'!$B$12:$E$112,4,0)))</f>
        <v/>
      </c>
    </row>
    <row r="14">
      <c r="A14" s="28" t="n">
        <v>262047</v>
      </c>
      <c r="B14" s="2" t="inlineStr">
        <is>
          <t>LUKOIL PJSC COMMON STOCK RUB</t>
        </is>
      </c>
      <c r="C14" s="18" t="n">
        <v>146385.71</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228597.65</v>
      </c>
      <c r="D16" s="19">
        <f>C16/$C$51</f>
        <v/>
      </c>
      <c r="E16" s="38" t="inlineStr">
        <is>
          <t>0H5796S</t>
        </is>
      </c>
      <c r="G16" s="3">
        <f>IF(B16="Subtotal"," ",(VLOOKUP(B16,'February 2023'!$B$12:$E$112,4,0)))</f>
        <v/>
      </c>
    </row>
    <row r="17">
      <c r="A17" s="28" t="n">
        <v>5365084</v>
      </c>
      <c r="B17" s="2" t="inlineStr">
        <is>
          <t>GAZPROM PJSC ADR</t>
        </is>
      </c>
      <c r="C17" s="18" t="n">
        <v>27942.85</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235911.38</v>
      </c>
      <c r="D19" s="19">
        <f>C19/$C$51</f>
        <v/>
      </c>
      <c r="E19" s="20" t="inlineStr">
        <is>
          <t>2H6464S</t>
        </is>
      </c>
      <c r="G19" s="3">
        <f>IF(B19="Subtotal"," ",(VLOOKUP(B19,'February 2023'!$B$12:$E$112,4,0)))</f>
        <v/>
      </c>
    </row>
    <row r="20">
      <c r="A20" s="28" t="n">
        <v>103572</v>
      </c>
      <c r="B20" s="2" t="inlineStr">
        <is>
          <t>NOVATEK PJSC COMMON STOCK RUB 0.1</t>
        </is>
      </c>
      <c r="C20" s="18" t="n">
        <v>14246.92</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205717.06</v>
      </c>
      <c r="D22" s="19">
        <f>C22/$C$51</f>
        <v/>
      </c>
      <c r="E22" s="20" t="inlineStr">
        <is>
          <t>0H5856S</t>
        </is>
      </c>
      <c r="G22" s="3">
        <f>IF(B22="Subtotal"," ",(VLOOKUP(B22,'February 2023'!$B$12:$E$112,4,0)))</f>
        <v/>
      </c>
    </row>
    <row r="23">
      <c r="A23" s="28" t="n">
        <v>2355925</v>
      </c>
      <c r="B23" s="2" t="inlineStr">
        <is>
          <t>SBERBANK OF RUSSIA PJSC</t>
        </is>
      </c>
      <c r="C23" s="18" t="n">
        <v>33286.06</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154152.88</v>
      </c>
      <c r="D25" s="19">
        <f>C25/$C$51</f>
        <v/>
      </c>
      <c r="E25" s="38" t="inlineStr">
        <is>
          <t>0H5804S</t>
        </is>
      </c>
      <c r="G25" s="3">
        <f>IF(B25="Subtotal"," ",(VLOOKUP(B25,'February 2023'!$B$12:$E$112,4,0)))</f>
        <v/>
      </c>
    </row>
    <row r="26">
      <c r="A26" s="28" t="n">
        <v>1677948</v>
      </c>
      <c r="B26" s="2" t="inlineStr">
        <is>
          <t>ROSNEFT OIL CO PJSC COMMON STOCK RUB</t>
        </is>
      </c>
      <c r="C26" s="18" t="n">
        <v>75740.72</v>
      </c>
      <c r="D26" s="19">
        <f>C26/$C$51</f>
        <v/>
      </c>
      <c r="E26" s="20" t="inlineStr">
        <is>
          <t>2H7674S</t>
        </is>
      </c>
      <c r="G26" s="3">
        <f>IF(B26="Subtotal"," ",(VLOOKUP(B26,'February 2023'!$B$12:$E$112,4,0)))</f>
        <v/>
      </c>
    </row>
    <row r="27">
      <c r="A27" s="28" t="n">
        <v>2041744</v>
      </c>
      <c r="B27" s="2" t="inlineStr">
        <is>
          <t>ROSNEFT OIL CO PJSC COMMON STOCK RUB 0.01</t>
        </is>
      </c>
      <c r="C27" s="18" t="n">
        <v>68083.60000000001</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100500.45</v>
      </c>
      <c r="D29" s="19">
        <f>C29/$C$51</f>
        <v/>
      </c>
      <c r="E29" s="20" t="inlineStr">
        <is>
          <t>2H7675S</t>
        </is>
      </c>
      <c r="G29" s="3">
        <f>IF(B29="Subtotal"," ",(VLOOKUP(B29,'February 2023'!$B$12:$E$112,4,0)))</f>
        <v/>
      </c>
    </row>
    <row r="30">
      <c r="A30" s="30" t="n">
        <v>180877</v>
      </c>
      <c r="B30" s="2" t="inlineStr">
        <is>
          <t>MAGNIT PJSC COMMON STOCK RUB 0.01</t>
        </is>
      </c>
      <c r="C30" s="18" t="n">
        <v>60706.54</v>
      </c>
      <c r="D30" s="19">
        <f>C30/$C$51</f>
        <v/>
      </c>
      <c r="E30" s="20" t="inlineStr">
        <is>
          <t>0H5813S</t>
        </is>
      </c>
      <c r="G30" s="3">
        <f>IF(B30="Subtotal"," ",(VLOOKUP(B30,'February 2023'!$B$12:$E$112,4,0)))</f>
        <v/>
      </c>
    </row>
    <row r="31">
      <c r="A31" s="28" t="n">
        <v>1265335</v>
      </c>
      <c r="B31" s="2" t="inlineStr">
        <is>
          <t>GAZPROM NEFT PJSC COMMON STOCK RUB</t>
        </is>
      </c>
      <c r="C31" s="18" t="n">
        <v>54858.55</v>
      </c>
      <c r="D31" s="19">
        <f>C31/$C$51</f>
        <v/>
      </c>
      <c r="E31" s="38" t="inlineStr">
        <is>
          <t>0H5803S</t>
        </is>
      </c>
      <c r="G31" s="3">
        <f>IF(B31="Subtotal"," ",(VLOOKUP(B31,'February 2023'!$B$12:$E$112,4,0)))</f>
        <v/>
      </c>
    </row>
    <row r="32">
      <c r="A32" s="28" t="n">
        <v>730066</v>
      </c>
      <c r="B32" s="2" t="inlineStr">
        <is>
          <t>TATNEFT PJSC COMMON STOCK RUB</t>
        </is>
      </c>
      <c r="C32" s="18" t="n">
        <v>29668.42</v>
      </c>
      <c r="D32" s="19">
        <f>C32/$C$51</f>
        <v/>
      </c>
      <c r="E32" s="38" t="inlineStr">
        <is>
          <t>0H5822S</t>
        </is>
      </c>
      <c r="G32" s="3">
        <f>IF(B32="Subtotal"," ",(VLOOKUP(B32,'February 2023'!$B$12:$E$112,4,0)))</f>
        <v/>
      </c>
    </row>
    <row r="33">
      <c r="A33" s="30" t="n">
        <v>571359</v>
      </c>
      <c r="B33" s="2" t="inlineStr">
        <is>
          <t>TATNEFT PJSC PREFERENCE RUB 1</t>
        </is>
      </c>
      <c r="C33" s="18" t="n">
        <v>20561.96</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48538.21</v>
      </c>
      <c r="D35" s="19">
        <f>C35/$C$51</f>
        <v/>
      </c>
      <c r="E35" s="20" t="inlineStr">
        <is>
          <t>2H7182S</t>
        </is>
      </c>
      <c r="G35" s="3">
        <f>IF(B35="Subtotal"," ",(VLOOKUP(B35,'February 2023'!$B$12:$E$112,4,0)))</f>
        <v/>
      </c>
    </row>
    <row r="36">
      <c r="A36" s="28" t="n">
        <v>6156103</v>
      </c>
      <c r="B36" s="2" t="inlineStr">
        <is>
          <t>ROSTELECOM PJSC COMMON STOCK RUB</t>
        </is>
      </c>
      <c r="C36" s="18" t="n">
        <v>47321.09</v>
      </c>
      <c r="D36" s="19">
        <f>C36/$C$51</f>
        <v/>
      </c>
      <c r="E36" s="20" t="inlineStr">
        <is>
          <t>0H5802S</t>
        </is>
      </c>
      <c r="G36" s="3">
        <f>IF(B36="Subtotal"," ",(VLOOKUP(B36,'February 2023'!$B$12:$E$112,4,0)))</f>
        <v/>
      </c>
    </row>
    <row r="37">
      <c r="A37" s="28" t="n">
        <v>21233273216</v>
      </c>
      <c r="B37" s="2" t="inlineStr">
        <is>
          <t>VTB BANK PJSC COMMON STOCK RUB 0.01</t>
        </is>
      </c>
      <c r="C37" s="18" t="n">
        <v>45270.26</v>
      </c>
      <c r="D37" s="19">
        <f>C37/$C$51</f>
        <v/>
      </c>
      <c r="E37" s="20" t="inlineStr">
        <is>
          <t>0H5837S</t>
        </is>
      </c>
      <c r="G37" s="3">
        <f>IF(B37="Subtotal"," ",(VLOOKUP(B37,'February 2023'!$B$12:$E$112,4,0)))</f>
        <v/>
      </c>
    </row>
    <row r="38">
      <c r="A38" s="28" t="n">
        <v>4003270</v>
      </c>
      <c r="B38" s="2" t="inlineStr">
        <is>
          <t>DETSKY MIR PJSC COMMON STOCK RUB 0.0004</t>
        </is>
      </c>
      <c r="C38" s="18" t="n">
        <v>37145.45</v>
      </c>
      <c r="D38" s="19">
        <f>C38/$C$51</f>
        <v/>
      </c>
      <c r="E38" s="20" t="inlineStr">
        <is>
          <t>0H5850S</t>
        </is>
      </c>
      <c r="G38" s="3">
        <f>IF(B38="Subtotal"," ",(VLOOKUP(B38,'February 2023'!$B$12:$E$112,4,0)))</f>
        <v/>
      </c>
      <c r="L38" s="24" t="n"/>
      <c r="N38" s="25" t="n"/>
    </row>
    <row r="39">
      <c r="A39" s="30" t="n">
        <v>169819</v>
      </c>
      <c r="B39" s="2" t="inlineStr">
        <is>
          <t>YANDEX NV COMMON STOCK USD 0.01</t>
        </is>
      </c>
      <c r="C39" s="18" t="n">
        <v>28812.79</v>
      </c>
      <c r="D39" s="19">
        <f>C39/$C$51</f>
        <v/>
      </c>
      <c r="E39" s="20" t="inlineStr">
        <is>
          <t>0H6379S</t>
        </is>
      </c>
      <c r="G39" s="3">
        <f>IF(B39="Subtotal"," ",(VLOOKUP(B39,'February 2023'!$B$12:$E$112,4,0)))</f>
        <v/>
      </c>
    </row>
    <row r="40">
      <c r="A40" s="28" t="n">
        <v>432517</v>
      </c>
      <c r="B40" s="2" t="inlineStr">
        <is>
          <t>MD MEDICAL GROUP INVESTMENTS PLC GDR USD</t>
        </is>
      </c>
      <c r="C40" s="18" t="n">
        <v>22084.99</v>
      </c>
      <c r="D40" s="19">
        <f>C40/$C$51</f>
        <v/>
      </c>
      <c r="E40" s="20" t="inlineStr">
        <is>
          <t>0H6371S</t>
        </is>
      </c>
      <c r="G40" s="3">
        <f>IF(B40="Subtotal"," ",(VLOOKUP(B40,'February 2023'!$B$12:$E$112,4,0)))</f>
        <v/>
      </c>
    </row>
    <row r="41">
      <c r="A41" s="28" t="n">
        <v>12313057</v>
      </c>
      <c r="B41" s="2" t="inlineStr">
        <is>
          <t>SISTEMA PJSFC COMMON STOCK RUB 0.09</t>
        </is>
      </c>
      <c r="C41" s="18" t="n">
        <v>16599.52</v>
      </c>
      <c r="D41" s="19">
        <f>C41/$C$51</f>
        <v/>
      </c>
      <c r="E41" s="20" t="inlineStr">
        <is>
          <t>0H5808S</t>
        </is>
      </c>
      <c r="G41" s="3">
        <f>IF(B41="Subtotal"," ",(VLOOKUP(B41,'February 2023'!$B$12:$E$112,4,0)))</f>
        <v/>
      </c>
    </row>
    <row r="42">
      <c r="A42" s="28" t="n">
        <v>577525</v>
      </c>
      <c r="B42" s="2" t="inlineStr">
        <is>
          <t>FIX PRICE GROUP LTD GDR</t>
        </is>
      </c>
      <c r="C42" s="18" t="n">
        <v>4863.16</v>
      </c>
      <c r="D42" s="19">
        <f>C42/$C$51</f>
        <v/>
      </c>
      <c r="E42" s="20" t="inlineStr">
        <is>
          <t>0H6372S</t>
        </is>
      </c>
      <c r="G42" s="3">
        <f>IF(B42="Subtotal"," ",(VLOOKUP(B42,'February 2023'!$B$12:$E$112,4,0)))</f>
        <v/>
      </c>
    </row>
    <row r="43">
      <c r="A43" s="28" t="n">
        <v>75226</v>
      </c>
      <c r="B43" s="2" t="inlineStr">
        <is>
          <t>TCS GROUP HOLDING PLC GDR</t>
        </is>
      </c>
      <c r="C43" s="18" t="n">
        <v>2151.72</v>
      </c>
      <c r="D43" s="19">
        <f>C43/$C$51</f>
        <v/>
      </c>
      <c r="E43" s="20" t="inlineStr">
        <is>
          <t>0H6380S</t>
        </is>
      </c>
      <c r="G43" s="3">
        <f>IF(B43="Subtotal"," ",(VLOOKUP(B43,'February 2023'!$B$12:$E$112,4,0)))</f>
        <v/>
      </c>
    </row>
    <row r="44">
      <c r="A44" s="30" t="n">
        <v>275182</v>
      </c>
      <c r="B44" s="2" t="inlineStr">
        <is>
          <t>X 5 RETAIL GROUP NV-REGS GDR</t>
        </is>
      </c>
      <c r="C44" s="33" t="n">
        <v>1309.97</v>
      </c>
      <c r="D44" s="19">
        <f>C44/$C$51</f>
        <v/>
      </c>
      <c r="E44" s="20" t="inlineStr">
        <is>
          <t>0H6365S</t>
        </is>
      </c>
      <c r="G44" s="3">
        <f>IF(B44="Subtotal"," ",(VLOOKUP(B44,'February 2023'!$B$12:$E$112,4,0)))</f>
        <v/>
      </c>
    </row>
    <row r="45">
      <c r="A45" s="28" t="n">
        <v>552780</v>
      </c>
      <c r="B45" s="2" t="inlineStr">
        <is>
          <t>SEVERSTAL PAO GDR USD</t>
        </is>
      </c>
      <c r="C45" s="18" t="n">
        <v>297.61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18965969.89</v>
      </c>
      <c r="D48" s="19">
        <f>C48/$C$51</f>
        <v/>
      </c>
    </row>
    <row r="49">
      <c r="B49" s="21" t="inlineStr">
        <is>
          <t>Net Current Assets</t>
        </is>
      </c>
      <c r="C49" s="39" t="n">
        <v>110074.51</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39.xml><?xml version="1.0" encoding="utf-8"?>
<worksheet xmlns="http://schemas.openxmlformats.org/spreadsheetml/2006/main">
  <sheetPr>
    <outlinePr summaryBelow="1" summaryRight="1"/>
    <pageSetUpPr/>
  </sheetPr>
  <dimension ref="A1:N55"/>
  <sheetViews>
    <sheetView workbookViewId="0">
      <selection activeCell="E44" sqref="E44"/>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August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17068108.68</v>
      </c>
      <c r="B12" s="2" t="inlineStr">
        <is>
          <t>JPM GBP LIQUIDITY LVNAV X (DIST.)</t>
        </is>
      </c>
      <c r="C12" s="18" t="n">
        <v>17068108.68</v>
      </c>
      <c r="D12" s="19">
        <f>C12/$C$51</f>
        <v/>
      </c>
      <c r="E12" s="38" t="inlineStr">
        <is>
          <t>5819115</t>
        </is>
      </c>
      <c r="G12" s="3">
        <f>IF(B12="Subtotal"," ",(VLOOKUP(B12,'February 2023'!$B$12:$E$112,4,0)))</f>
        <v/>
      </c>
    </row>
    <row r="13">
      <c r="A13" s="28" t="n">
        <v>362649</v>
      </c>
      <c r="B13" s="2" t="inlineStr">
        <is>
          <t>LUKOIL PJSC COMMON STOCK RUB 0.025 RUB</t>
        </is>
      </c>
      <c r="C13" s="18" t="n">
        <v>264822.12</v>
      </c>
      <c r="D13" s="19">
        <f>C13/$C$51</f>
        <v/>
      </c>
      <c r="E13" s="38" t="inlineStr">
        <is>
          <t>2H6442S</t>
        </is>
      </c>
      <c r="G13" s="3">
        <f>IF(B13="Subtotal"," ",(VLOOKUP(B13,'February 2023'!$B$12:$E$112,4,0)))</f>
        <v/>
      </c>
    </row>
    <row r="14">
      <c r="A14" s="28" t="n">
        <v>262047</v>
      </c>
      <c r="B14" s="2" t="inlineStr">
        <is>
          <t>LUKOIL PJSC COMMON STOCK RUB</t>
        </is>
      </c>
      <c r="C14" s="18" t="n">
        <v>140435.17</v>
      </c>
      <c r="D14" s="19">
        <f>C14/$C$51</f>
        <v/>
      </c>
      <c r="E14" s="20" t="inlineStr">
        <is>
          <t>0H5797S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8860909</v>
      </c>
      <c r="B16" s="2" t="inlineStr">
        <is>
          <t>GAZPROM PJSC COMMON STOCK RUB</t>
        </is>
      </c>
      <c r="C16" s="18" t="n">
        <v>219305.22</v>
      </c>
      <c r="D16" s="19">
        <f>C16/$C$51</f>
        <v/>
      </c>
      <c r="E16" s="38" t="inlineStr">
        <is>
          <t>0H5796S</t>
        </is>
      </c>
      <c r="G16" s="3">
        <f>IF(B16="Subtotal"," ",(VLOOKUP(B16,'February 2023'!$B$12:$E$112,4,0)))</f>
        <v/>
      </c>
    </row>
    <row r="17">
      <c r="A17" s="28" t="n">
        <v>5365084</v>
      </c>
      <c r="B17" s="2" t="inlineStr">
        <is>
          <t>GAZPROM PJSC ADR</t>
        </is>
      </c>
      <c r="C17" s="18" t="n">
        <v>26806.98</v>
      </c>
      <c r="D17" s="19">
        <f>C17/$C$51</f>
        <v/>
      </c>
      <c r="E17" s="38" t="inlineStr">
        <is>
          <t>0H6364S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28" t="n">
        <v>1268490</v>
      </c>
      <c r="B19" s="2" t="inlineStr">
        <is>
          <t>NOVATEK PJSC COMMON STOCK RUB 0.1</t>
        </is>
      </c>
      <c r="C19" s="18" t="n">
        <v>228094.16</v>
      </c>
      <c r="D19" s="19">
        <f>C19/$C$51</f>
        <v/>
      </c>
      <c r="E19" s="20" t="inlineStr">
        <is>
          <t>2H6464S</t>
        </is>
      </c>
      <c r="G19" s="3">
        <f>IF(B19="Subtotal"," ",(VLOOKUP(B19,'February 2023'!$B$12:$E$112,4,0)))</f>
        <v/>
      </c>
    </row>
    <row r="20">
      <c r="A20" s="28" t="n">
        <v>103572</v>
      </c>
      <c r="B20" s="2" t="inlineStr">
        <is>
          <t>NOVATEK PJSC COMMON STOCK RUB 0.1</t>
        </is>
      </c>
      <c r="C20" s="18" t="n">
        <v>13667.79</v>
      </c>
      <c r="D20" s="19">
        <f>C20/$C$51</f>
        <v/>
      </c>
      <c r="E20" s="20" t="inlineStr">
        <is>
          <t>2H6464S</t>
        </is>
      </c>
      <c r="G20" s="3">
        <f>IF(B20="Subtotal"," ",(VLOOKUP(B20,'February 2023'!$B$12:$E$112,4,0)))</f>
        <v/>
      </c>
    </row>
    <row r="21" customFormat="1" s="35">
      <c r="A21" s="30" t="n"/>
      <c r="B21" s="27" t="inlineStr">
        <is>
          <t>Subtotal</t>
        </is>
      </c>
      <c r="C21" s="29">
        <f>+C20+C19</f>
        <v/>
      </c>
      <c r="D21" s="31">
        <f>C21/$C$51</f>
        <v/>
      </c>
      <c r="E21" s="34" t="inlineStr">
        <is>
          <t> </t>
        </is>
      </c>
      <c r="G21" s="3">
        <f>IF(B21="Subtotal"," ",(VLOOKUP(B21,'February 2023'!$B$12:$E$112,4,0)))</f>
        <v/>
      </c>
    </row>
    <row r="22">
      <c r="A22" s="28" t="n">
        <v>14455036</v>
      </c>
      <c r="B22" s="2" t="inlineStr">
        <is>
          <t>SBERBANK OF RUSSIA PJSC PREFERENCE RUB 3</t>
        </is>
      </c>
      <c r="C22" s="18" t="n">
        <v>197354.72</v>
      </c>
      <c r="D22" s="19">
        <f>C22/$C$51</f>
        <v/>
      </c>
      <c r="E22" s="20" t="inlineStr">
        <is>
          <t>0H5856S</t>
        </is>
      </c>
      <c r="G22" s="3">
        <f>IF(B22="Subtotal"," ",(VLOOKUP(B22,'February 2023'!$B$12:$E$112,4,0)))</f>
        <v/>
      </c>
    </row>
    <row r="23">
      <c r="A23" s="28" t="n">
        <v>2355925</v>
      </c>
      <c r="B23" s="2" t="inlineStr">
        <is>
          <t>SBERBANK OF RUSSIA PJSC</t>
        </is>
      </c>
      <c r="C23" s="18" t="n">
        <v>31932.99</v>
      </c>
      <c r="D23" s="19">
        <f>C23/$C$51</f>
        <v/>
      </c>
      <c r="E23" s="20" t="inlineStr">
        <is>
          <t>0H5855S</t>
        </is>
      </c>
      <c r="G23" s="3">
        <f>IF(B23="Subtotal"," ",(VLOOKUP(B23,'February 2023'!$B$12:$E$112,4,0)))</f>
        <v/>
      </c>
    </row>
    <row r="24" customFormat="1" s="35">
      <c r="A24" s="30" t="n"/>
      <c r="B24" s="27" t="inlineStr">
        <is>
          <t>Subtotal</t>
        </is>
      </c>
      <c r="C24" s="29">
        <f>+C23+C22</f>
        <v/>
      </c>
      <c r="D24" s="31">
        <f>C24/$C$51</f>
        <v/>
      </c>
      <c r="E24" s="34" t="inlineStr">
        <is>
          <t> </t>
        </is>
      </c>
      <c r="G24" s="3">
        <f>IF(B24="Subtotal"," ",(VLOOKUP(B24,'February 2023'!$B$12:$E$112,4,0)))</f>
        <v/>
      </c>
    </row>
    <row r="25">
      <c r="A25" s="30" t="n">
        <v>71192</v>
      </c>
      <c r="B25" s="2" t="inlineStr">
        <is>
          <t>MMC NORILSK NICKEL PJSC COMMON STOCK RUB 1</t>
        </is>
      </c>
      <c r="C25" s="33" t="n">
        <v>147886.61</v>
      </c>
      <c r="D25" s="19">
        <f>C25/$C$51</f>
        <v/>
      </c>
      <c r="E25" s="38" t="inlineStr">
        <is>
          <t>0H5804S</t>
        </is>
      </c>
      <c r="G25" s="3">
        <f>IF(B25="Subtotal"," ",(VLOOKUP(B25,'February 2023'!$B$12:$E$112,4,0)))</f>
        <v/>
      </c>
    </row>
    <row r="26">
      <c r="A26" s="28" t="n">
        <v>1677948</v>
      </c>
      <c r="B26" s="2" t="inlineStr">
        <is>
          <t>ROSNEFT OIL CO PJSC COMMON STOCK RUB</t>
        </is>
      </c>
      <c r="C26" s="18" t="n">
        <v>73230.96000000001</v>
      </c>
      <c r="D26" s="19">
        <f>C26/$C$51</f>
        <v/>
      </c>
      <c r="E26" s="20" t="inlineStr">
        <is>
          <t>2H7674S</t>
        </is>
      </c>
      <c r="G26" s="3">
        <f>IF(B26="Subtotal"," ",(VLOOKUP(B26,'February 2023'!$B$12:$E$112,4,0)))</f>
        <v/>
      </c>
    </row>
    <row r="27">
      <c r="A27" s="28" t="n">
        <v>2041744</v>
      </c>
      <c r="B27" s="2" t="inlineStr">
        <is>
          <t>ROSNEFT OIL CO PJSC COMMON STOCK RUB 0.01</t>
        </is>
      </c>
      <c r="C27" s="18" t="n">
        <v>65316.02</v>
      </c>
      <c r="D27" s="19">
        <f>C27/$C$51</f>
        <v/>
      </c>
      <c r="E27" s="20" t="inlineStr">
        <is>
          <t>0H5827S</t>
        </is>
      </c>
      <c r="G27" s="3">
        <f>IF(B27="Subtotal"," ",(VLOOKUP(B27,'February 2023'!$B$12:$E$112,4,0)))</f>
        <v/>
      </c>
    </row>
    <row r="28" customFormat="1" s="35">
      <c r="A28" s="30" t="n"/>
      <c r="B28" s="27" t="inlineStr">
        <is>
          <t>Subtotal</t>
        </is>
      </c>
      <c r="C28" s="29">
        <f>+C27+C26</f>
        <v/>
      </c>
      <c r="D28" s="31">
        <f>C28/$C$51</f>
        <v/>
      </c>
      <c r="E28" s="34" t="inlineStr">
        <is>
          <t> </t>
        </is>
      </c>
      <c r="G28" s="3">
        <f>IF(B28="Subtotal"," ",(VLOOKUP(B28,'February 2023'!$B$12:$E$112,4,0)))</f>
        <v/>
      </c>
    </row>
    <row r="29">
      <c r="A29" s="28" t="n">
        <v>3657350</v>
      </c>
      <c r="B29" s="2" t="inlineStr">
        <is>
          <t>NOVOLIPETSK STEEL PJSC COMMON STOCK RUB</t>
        </is>
      </c>
      <c r="C29" s="18" t="n">
        <v>97170.24000000001</v>
      </c>
      <c r="D29" s="19">
        <f>C29/$C$51</f>
        <v/>
      </c>
      <c r="E29" s="20" t="inlineStr">
        <is>
          <t>2H7675S</t>
        </is>
      </c>
      <c r="G29" s="3">
        <f>IF(B29="Subtotal"," ",(VLOOKUP(B29,'February 2023'!$B$12:$E$112,4,0)))</f>
        <v/>
      </c>
    </row>
    <row r="30">
      <c r="A30" s="30" t="n">
        <v>180877</v>
      </c>
      <c r="B30" s="2" t="inlineStr">
        <is>
          <t>MAGNIT PJSC COMMON STOCK RUB 0.01</t>
        </is>
      </c>
      <c r="C30" s="18" t="n">
        <v>58238.84</v>
      </c>
      <c r="D30" s="19">
        <f>C30/$C$51</f>
        <v/>
      </c>
      <c r="E30" s="20" t="inlineStr">
        <is>
          <t>0H5813S</t>
        </is>
      </c>
      <c r="G30" s="3">
        <f>IF(B30="Subtotal"," ",(VLOOKUP(B30,'February 2023'!$B$12:$E$112,4,0)))</f>
        <v/>
      </c>
    </row>
    <row r="31">
      <c r="A31" s="28" t="n">
        <v>1265335</v>
      </c>
      <c r="B31" s="2" t="inlineStr">
        <is>
          <t>GAZPROM NEFT PJSC COMMON STOCK RUB</t>
        </is>
      </c>
      <c r="C31" s="18" t="n">
        <v>52628.57</v>
      </c>
      <c r="D31" s="19">
        <f>C31/$C$51</f>
        <v/>
      </c>
      <c r="E31" s="38" t="inlineStr">
        <is>
          <t>0H5803S</t>
        </is>
      </c>
      <c r="G31" s="3">
        <f>IF(B31="Subtotal"," ",(VLOOKUP(B31,'February 2023'!$B$12:$E$112,4,0)))</f>
        <v/>
      </c>
    </row>
    <row r="32">
      <c r="A32" s="28" t="n">
        <v>730066</v>
      </c>
      <c r="B32" s="2" t="inlineStr">
        <is>
          <t>TATNEFT PJSC COMMON STOCK RUB</t>
        </is>
      </c>
      <c r="C32" s="18" t="n">
        <v>28462.41</v>
      </c>
      <c r="D32" s="19">
        <f>C32/$C$51</f>
        <v/>
      </c>
      <c r="E32" s="38" t="inlineStr">
        <is>
          <t>0H5822S</t>
        </is>
      </c>
      <c r="G32" s="3">
        <f>IF(B32="Subtotal"," ",(VLOOKUP(B32,'February 2023'!$B$12:$E$112,4,0)))</f>
        <v/>
      </c>
    </row>
    <row r="33">
      <c r="A33" s="30" t="n">
        <v>571359</v>
      </c>
      <c r="B33" s="2" t="inlineStr">
        <is>
          <t>TATNEFT PJSC PREFERENCE RUB 1</t>
        </is>
      </c>
      <c r="C33" s="18" t="n">
        <v>19726.13</v>
      </c>
      <c r="D33" s="19">
        <f>C33/$C$51</f>
        <v/>
      </c>
      <c r="E33" s="38" t="inlineStr">
        <is>
          <t>0H5816S</t>
        </is>
      </c>
      <c r="F33" s="18" t="n"/>
      <c r="G33" s="3">
        <f>IF(B33="Subtotal"," ",(VLOOKUP(B33,'February 2023'!$B$12:$E$112,4,0)))</f>
        <v/>
      </c>
    </row>
    <row r="34" customFormat="1" s="35">
      <c r="A34" s="30" t="n"/>
      <c r="B34" s="27" t="inlineStr">
        <is>
          <t>Subtotal</t>
        </is>
      </c>
      <c r="C34" s="29">
        <f>+C33+C32</f>
        <v/>
      </c>
      <c r="D34" s="31">
        <f>C34/$C$51</f>
        <v/>
      </c>
      <c r="E34" s="34" t="inlineStr">
        <is>
          <t> </t>
        </is>
      </c>
      <c r="G34" s="3">
        <f>IF(B34="Subtotal"," ",(VLOOKUP(B34,'February 2023'!$B$12:$E$112,4,0)))</f>
        <v/>
      </c>
    </row>
    <row r="35">
      <c r="A35" s="28" t="n">
        <v>29773</v>
      </c>
      <c r="B35" s="2" t="inlineStr">
        <is>
          <t>POLYUS PJSC COMMON STOCK RUB</t>
        </is>
      </c>
      <c r="C35" s="18" t="n">
        <v>46929.84</v>
      </c>
      <c r="D35" s="19">
        <f>C35/$C$51</f>
        <v/>
      </c>
      <c r="E35" s="20" t="inlineStr">
        <is>
          <t>2H7182S</t>
        </is>
      </c>
      <c r="G35" s="3">
        <f>IF(B35="Subtotal"," ",(VLOOKUP(B35,'February 2023'!$B$12:$E$112,4,0)))</f>
        <v/>
      </c>
    </row>
    <row r="36">
      <c r="A36" s="28" t="n">
        <v>6156103</v>
      </c>
      <c r="B36" s="2" t="inlineStr">
        <is>
          <t>ROSTELECOM PJSC COMMON STOCK RUB</t>
        </is>
      </c>
      <c r="C36" s="18" t="n">
        <v>45397.5</v>
      </c>
      <c r="D36" s="19">
        <f>C36/$C$51</f>
        <v/>
      </c>
      <c r="E36" s="20" t="inlineStr">
        <is>
          <t>0H5802S</t>
        </is>
      </c>
      <c r="G36" s="3">
        <f>IF(B36="Subtotal"," ",(VLOOKUP(B36,'February 2023'!$B$12:$E$112,4,0)))</f>
        <v/>
      </c>
    </row>
    <row r="37">
      <c r="A37" s="28" t="n">
        <v>21233273216</v>
      </c>
      <c r="B37" s="2" t="inlineStr">
        <is>
          <t>VTB BANK PJSC COMMON STOCK RUB 0.01</t>
        </is>
      </c>
      <c r="C37" s="18" t="n">
        <v>43430.04</v>
      </c>
      <c r="D37" s="19">
        <f>C37/$C$51</f>
        <v/>
      </c>
      <c r="E37" s="20" t="inlineStr">
        <is>
          <t>0H5837S</t>
        </is>
      </c>
      <c r="G37" s="3">
        <f>IF(B37="Subtotal"," ",(VLOOKUP(B37,'February 2023'!$B$12:$E$112,4,0)))</f>
        <v/>
      </c>
    </row>
    <row r="38">
      <c r="A38" s="28" t="n">
        <v>4003270</v>
      </c>
      <c r="B38" s="2" t="inlineStr">
        <is>
          <t>DETSKY MIR PJSC COMMON STOCK RUB 0.0004</t>
        </is>
      </c>
      <c r="C38" s="18" t="n">
        <v>35635.5</v>
      </c>
      <c r="D38" s="19">
        <f>C38/$C$51</f>
        <v/>
      </c>
      <c r="E38" s="20" t="inlineStr">
        <is>
          <t>0H5850S</t>
        </is>
      </c>
      <c r="G38" s="3">
        <f>IF(B38="Subtotal"," ",(VLOOKUP(B38,'February 2023'!$B$12:$E$112,4,0)))</f>
        <v/>
      </c>
      <c r="L38" s="24" t="n"/>
      <c r="N38" s="25" t="n"/>
    </row>
    <row r="39">
      <c r="A39" s="30" t="n">
        <v>169819</v>
      </c>
      <c r="B39" s="2" t="inlineStr">
        <is>
          <t>YANDEX NV COMMON STOCK USD 0.01</t>
        </is>
      </c>
      <c r="C39" s="18" t="n">
        <v>27641.56</v>
      </c>
      <c r="D39" s="19">
        <f>C39/$C$51</f>
        <v/>
      </c>
      <c r="E39" s="20" t="inlineStr">
        <is>
          <t>0H6379S</t>
        </is>
      </c>
      <c r="G39" s="3">
        <f>IF(B39="Subtotal"," ",(VLOOKUP(B39,'February 2023'!$B$12:$E$112,4,0)))</f>
        <v/>
      </c>
    </row>
    <row r="40">
      <c r="A40" s="28" t="n">
        <v>432517</v>
      </c>
      <c r="B40" s="2" t="inlineStr">
        <is>
          <t>MD MEDICAL GROUP INVESTMENTS PLC GDR USD</t>
        </is>
      </c>
      <c r="C40" s="18" t="n">
        <v>21187.24</v>
      </c>
      <c r="D40" s="19">
        <f>C40/$C$51</f>
        <v/>
      </c>
      <c r="E40" s="20" t="inlineStr">
        <is>
          <t>0H6371S</t>
        </is>
      </c>
      <c r="G40" s="3">
        <f>IF(B40="Subtotal"," ",(VLOOKUP(B40,'February 2023'!$B$12:$E$112,4,0)))</f>
        <v/>
      </c>
    </row>
    <row r="41">
      <c r="A41" s="28" t="n">
        <v>12313057</v>
      </c>
      <c r="B41" s="2" t="inlineStr">
        <is>
          <t>SISTEMA PJSFC COMMON STOCK RUB 0.09</t>
        </is>
      </c>
      <c r="C41" s="18" t="n">
        <v>15924.75</v>
      </c>
      <c r="D41" s="19">
        <f>C41/$C$51</f>
        <v/>
      </c>
      <c r="E41" s="20" t="inlineStr">
        <is>
          <t>0H5808S</t>
        </is>
      </c>
      <c r="G41" s="3">
        <f>IF(B41="Subtotal"," ",(VLOOKUP(B41,'February 2023'!$B$12:$E$112,4,0)))</f>
        <v/>
      </c>
    </row>
    <row r="42">
      <c r="A42" s="28" t="n">
        <v>577525</v>
      </c>
      <c r="B42" s="2" t="inlineStr">
        <is>
          <t>FIX PRICE GROUP LTD GDR</t>
        </is>
      </c>
      <c r="C42" s="18" t="n">
        <v>4665.47</v>
      </c>
      <c r="D42" s="19">
        <f>C42/$C$51</f>
        <v/>
      </c>
      <c r="E42" s="20" t="inlineStr">
        <is>
          <t>0H6372S</t>
        </is>
      </c>
      <c r="G42" s="3">
        <f>IF(B42="Subtotal"," ",(VLOOKUP(B42,'February 2023'!$B$12:$E$112,4,0)))</f>
        <v/>
      </c>
    </row>
    <row r="43">
      <c r="A43" s="28" t="n">
        <v>75226</v>
      </c>
      <c r="B43" s="2" t="inlineStr">
        <is>
          <t>TCS GROUP HOLDING PLC GDR</t>
        </is>
      </c>
      <c r="C43" s="18" t="n">
        <v>2064.26</v>
      </c>
      <c r="D43" s="19">
        <f>C43/$C$51</f>
        <v/>
      </c>
      <c r="E43" s="20" t="inlineStr">
        <is>
          <t>0H6380S</t>
        </is>
      </c>
      <c r="G43" s="3">
        <f>IF(B43="Subtotal"," ",(VLOOKUP(B43,'February 2023'!$B$12:$E$112,4,0)))</f>
        <v/>
      </c>
    </row>
    <row r="44">
      <c r="A44" s="30" t="n">
        <v>275182</v>
      </c>
      <c r="B44" s="2" t="inlineStr">
        <is>
          <t>X 5 RETAIL GROUP NV-REGS GDR</t>
        </is>
      </c>
      <c r="C44" s="33" t="n">
        <v>1256.72</v>
      </c>
      <c r="D44" s="19">
        <f>C44/$C$51</f>
        <v/>
      </c>
      <c r="E44" s="20" t="inlineStr">
        <is>
          <t>0H6365S</t>
        </is>
      </c>
      <c r="G44" s="3">
        <f>IF(B44="Subtotal"," ",(VLOOKUP(B44,'February 2023'!$B$12:$E$112,4,0)))</f>
        <v/>
      </c>
    </row>
    <row r="45">
      <c r="A45" s="28" t="n">
        <v>552780</v>
      </c>
      <c r="B45" s="2" t="inlineStr">
        <is>
          <t>SEVERSTAL PAO GDR USD</t>
        </is>
      </c>
      <c r="C45" s="18" t="n">
        <v>285.51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18977605.99999999</v>
      </c>
      <c r="D48" s="19">
        <f>C48/$C$51</f>
        <v/>
      </c>
    </row>
    <row r="49">
      <c r="B49" s="21" t="inlineStr">
        <is>
          <t>Net Current Assets</t>
        </is>
      </c>
      <c r="C49" s="39" t="n">
        <v>93901.51999999999</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0.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July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17073471.32</v>
      </c>
      <c r="B12" s="2" t="inlineStr">
        <is>
          <t>JPM GBP LIQUIDITY LVNAV X (DIST.)</t>
        </is>
      </c>
      <c r="C12" s="18" t="n">
        <v>17073471.32</v>
      </c>
      <c r="D12" s="19">
        <f>C12/$C$51</f>
        <v/>
      </c>
      <c r="E12" s="38" t="inlineStr">
        <is>
          <t>5819115</t>
        </is>
      </c>
      <c r="G12" s="3">
        <f>IF(B12="Subtotal"," ",(VLOOKUP(B12,'February 2023'!$B$12:$E$112,4,0)))</f>
        <v/>
      </c>
    </row>
    <row r="13">
      <c r="A13" s="28" t="n">
        <v>8860909</v>
      </c>
      <c r="B13" s="2" t="inlineStr">
        <is>
          <t>GAZPROM PJSC COMMON STOCK RUB</t>
        </is>
      </c>
      <c r="C13" s="18" t="n">
        <v>209699.69</v>
      </c>
      <c r="D13" s="19">
        <f>C13/$C$51</f>
        <v/>
      </c>
      <c r="E13" s="38" t="inlineStr">
        <is>
          <t>0H5796S</t>
        </is>
      </c>
      <c r="G13" s="3">
        <f>IF(B13="Subtotal"," ",(VLOOKUP(B13,'February 2023'!$B$12:$E$112,4,0)))</f>
        <v/>
      </c>
    </row>
    <row r="14">
      <c r="A14" s="28" t="n">
        <v>5365084</v>
      </c>
      <c r="B14" s="2" t="inlineStr">
        <is>
          <t>GAZPROM PJSC ADR</t>
        </is>
      </c>
      <c r="C14" s="18" t="n">
        <v>25632.84</v>
      </c>
      <c r="D14" s="19">
        <f>C14/$C$51</f>
        <v/>
      </c>
      <c r="E14" s="38" t="inlineStr">
        <is>
          <t>0H6364S</t>
        </is>
      </c>
      <c r="G14" s="3">
        <f>IF(B14="Subtotal"," ",(VLOOKUP(B14,'February 2023'!$B$12:$E$112,4,0)))</f>
        <v/>
      </c>
    </row>
    <row r="15" customFormat="1" s="35">
      <c r="A15" s="30" t="n"/>
      <c r="B15" s="27" t="inlineStr">
        <is>
          <t>Subtotal</t>
        </is>
      </c>
      <c r="C15" s="29">
        <f>+C14+C13</f>
        <v/>
      </c>
      <c r="D15" s="31">
        <f>C15/$C$51</f>
        <v/>
      </c>
      <c r="E15" s="34" t="inlineStr">
        <is>
          <t> </t>
        </is>
      </c>
      <c r="G15" s="3">
        <f>IF(B15="Subtotal"," ",(VLOOKUP(B15,'February 2023'!$B$12:$E$112,4,0)))</f>
        <v/>
      </c>
    </row>
    <row r="16">
      <c r="A16" s="28" t="n">
        <v>14455036</v>
      </c>
      <c r="B16" s="2" t="inlineStr">
        <is>
          <t>SBERBANK OF RUSSIA PJSC PREFERENCE RUB 3</t>
        </is>
      </c>
      <c r="C16" s="18" t="n">
        <v>188710.62</v>
      </c>
      <c r="D16" s="19">
        <f>C16/$C$51</f>
        <v/>
      </c>
      <c r="E16" s="20" t="inlineStr">
        <is>
          <t>0H5856S</t>
        </is>
      </c>
      <c r="G16" s="3">
        <f>IF(B16="Subtotal"," ",(VLOOKUP(B16,'February 2023'!$B$12:$E$112,4,0)))</f>
        <v/>
      </c>
    </row>
    <row r="17">
      <c r="A17" s="28" t="n">
        <v>2355925</v>
      </c>
      <c r="B17" s="2" t="inlineStr">
        <is>
          <t>SBERBANK OF RUSSIA PJSC</t>
        </is>
      </c>
      <c r="C17" s="18" t="n">
        <v>30534.33</v>
      </c>
      <c r="D17" s="19">
        <f>C17/$C$51</f>
        <v/>
      </c>
      <c r="E17" s="20" t="inlineStr">
        <is>
          <t>0H5855S</t>
        </is>
      </c>
      <c r="G17" s="3">
        <f>IF(B17="Subtotal"," ",(VLOOKUP(B17,'February 2023'!$B$12:$E$112,4,0)))</f>
        <v/>
      </c>
    </row>
    <row r="18" customFormat="1" s="35">
      <c r="A18" s="30" t="n"/>
      <c r="B18" s="27" t="inlineStr">
        <is>
          <t>Subtotal</t>
        </is>
      </c>
      <c r="C18" s="29">
        <f>+C17+C16</f>
        <v/>
      </c>
      <c r="D18" s="31">
        <f>C18/$C$51</f>
        <v/>
      </c>
      <c r="E18" s="34" t="inlineStr">
        <is>
          <t> </t>
        </is>
      </c>
      <c r="G18" s="3">
        <f>IF(B18="Subtotal"," ",(VLOOKUP(B18,'February 2023'!$B$12:$E$112,4,0)))</f>
        <v/>
      </c>
    </row>
    <row r="19">
      <c r="A19" s="30" t="n">
        <v>71192</v>
      </c>
      <c r="B19" s="2" t="inlineStr">
        <is>
          <t>MMC NORILSK NICKEL PJSC COMMON STOCK RUB 1</t>
        </is>
      </c>
      <c r="C19" s="33" t="n">
        <v>141409.2</v>
      </c>
      <c r="D19" s="19">
        <f>C19/$C$51</f>
        <v/>
      </c>
      <c r="E19" s="38" t="inlineStr">
        <is>
          <t>0H5804S</t>
        </is>
      </c>
      <c r="G19" s="3">
        <f>IF(B19="Subtotal"," ",(VLOOKUP(B19,'February 2023'!$B$12:$E$112,4,0)))</f>
        <v/>
      </c>
    </row>
    <row r="20">
      <c r="A20" s="28" t="n">
        <v>262047</v>
      </c>
      <c r="B20" s="2" t="inlineStr">
        <is>
          <t>LUKOIL PJSC COMMON STOCK RUB</t>
        </is>
      </c>
      <c r="C20" s="18" t="n">
        <v>134284.14</v>
      </c>
      <c r="D20" s="19">
        <f>C20/$C$51</f>
        <v/>
      </c>
      <c r="E20" s="38" t="inlineStr">
        <is>
          <t>0H5797S</t>
        </is>
      </c>
      <c r="G20" s="3">
        <f>IF(B20="Subtotal"," ",(VLOOKUP(B20,'February 2023'!$B$12:$E$112,4,0)))</f>
        <v/>
      </c>
    </row>
    <row r="21">
      <c r="A21" s="28" t="n">
        <v>362649</v>
      </c>
      <c r="B21" s="2" t="inlineStr">
        <is>
          <t>LUKOIL PJSC ADR</t>
        </is>
      </c>
      <c r="C21" s="18" t="n">
        <v>2145.67</v>
      </c>
      <c r="D21" s="19">
        <f>C21/$C$51</f>
        <v/>
      </c>
      <c r="E21" s="20" t="inlineStr">
        <is>
          <t>0H6400S</t>
        </is>
      </c>
      <c r="G21" s="3" t="inlineStr">
        <is>
          <t>0H6400S</t>
        </is>
      </c>
    </row>
    <row r="22" customFormat="1" s="35">
      <c r="A22" s="30" t="n"/>
      <c r="B22" s="27" t="inlineStr">
        <is>
          <t>Subtotal</t>
        </is>
      </c>
      <c r="C22" s="29">
        <f>+C21+C20</f>
        <v/>
      </c>
      <c r="D22" s="31">
        <f>C22/$C$51</f>
        <v/>
      </c>
      <c r="E22" s="34" t="inlineStr">
        <is>
          <t> </t>
        </is>
      </c>
      <c r="G22" s="3">
        <f>IF(B22="Subtotal"," ",(VLOOKUP(B22,'February 2023'!$B$12:$E$112,4,0)))</f>
        <v/>
      </c>
    </row>
    <row r="23">
      <c r="A23" s="28" t="n">
        <v>2041744</v>
      </c>
      <c r="B23" s="2" t="inlineStr">
        <is>
          <t>ROSNEFT OIL CO PJSC COMMON STOCK RUB 0.01</t>
        </is>
      </c>
      <c r="C23" s="18" t="n">
        <v>62455.19</v>
      </c>
      <c r="D23" s="19">
        <f>C23/$C$51</f>
        <v/>
      </c>
      <c r="E23" s="20" t="inlineStr">
        <is>
          <t>0H5827S</t>
        </is>
      </c>
      <c r="G23" s="3">
        <f>IF(B23="Subtotal"," ",(VLOOKUP(B23,'February 2023'!$B$12:$E$112,4,0)))</f>
        <v/>
      </c>
    </row>
    <row r="24">
      <c r="A24" s="28" t="n">
        <v>1677948</v>
      </c>
      <c r="B24" s="2" t="inlineStr">
        <is>
          <t>ROSNEFT OIL CO PJSC</t>
        </is>
      </c>
      <c r="C24" s="18" t="n">
        <v>8298.040000000001</v>
      </c>
      <c r="D24" s="19">
        <f>C24/$C$51</f>
        <v/>
      </c>
      <c r="E24" s="20" t="inlineStr">
        <is>
          <t>0H6367S</t>
        </is>
      </c>
      <c r="G24" s="3" t="inlineStr">
        <is>
          <t>0H6367S</t>
        </is>
      </c>
    </row>
    <row r="25" customFormat="1" s="35">
      <c r="A25" s="30" t="n"/>
      <c r="B25" s="27" t="inlineStr">
        <is>
          <t>Subtotal</t>
        </is>
      </c>
      <c r="C25" s="29">
        <f>+C24+C23</f>
        <v/>
      </c>
      <c r="D25" s="31">
        <f>C25/$C$51</f>
        <v/>
      </c>
      <c r="E25" s="34" t="inlineStr">
        <is>
          <t> </t>
        </is>
      </c>
      <c r="G25" s="3">
        <f>IF(B25="Subtotal"," ",(VLOOKUP(B25,'February 2023'!$B$12:$E$112,4,0)))</f>
        <v/>
      </c>
    </row>
    <row r="26">
      <c r="A26" s="30" t="n">
        <v>180877</v>
      </c>
      <c r="B26" s="2" t="inlineStr">
        <is>
          <t>MAGNIT PJSC COMMON STOCK RUB 0.01</t>
        </is>
      </c>
      <c r="C26" s="18" t="n">
        <v>55687.99</v>
      </c>
      <c r="D26" s="19">
        <f>C26/$C$51</f>
        <v/>
      </c>
      <c r="E26" s="20" t="inlineStr">
        <is>
          <t>0H5813S</t>
        </is>
      </c>
      <c r="G26" s="3">
        <f>IF(B26="Subtotal"," ",(VLOOKUP(B26,'February 2023'!$B$12:$E$112,4,0)))</f>
        <v/>
      </c>
    </row>
    <row r="27">
      <c r="A27" s="28" t="n">
        <v>1265335</v>
      </c>
      <c r="B27" s="2" t="inlineStr">
        <is>
          <t>GAZPROM NEFT PJSC COMMON STOCK RUB</t>
        </is>
      </c>
      <c r="C27" s="18" t="n">
        <v>50323.45</v>
      </c>
      <c r="D27" s="19">
        <f>C27/$C$51</f>
        <v/>
      </c>
      <c r="E27" s="38" t="inlineStr">
        <is>
          <t>0H5803S</t>
        </is>
      </c>
      <c r="G27" s="3">
        <f>IF(B27="Subtotal"," ",(VLOOKUP(B27,'February 2023'!$B$12:$E$112,4,0)))</f>
        <v/>
      </c>
    </row>
    <row r="28">
      <c r="A28" s="28" t="n">
        <v>730066</v>
      </c>
      <c r="B28" s="2" t="inlineStr">
        <is>
          <t>TATNEFT PJSC COMMON STOCK RUB</t>
        </is>
      </c>
      <c r="C28" s="18" t="n">
        <v>27215.76</v>
      </c>
      <c r="D28" s="19">
        <f>C28/$C$51</f>
        <v/>
      </c>
      <c r="E28" s="38" t="inlineStr">
        <is>
          <t>0H5822S</t>
        </is>
      </c>
      <c r="G28" s="3">
        <f>IF(B28="Subtotal"," ",(VLOOKUP(B28,'February 2023'!$B$12:$E$112,4,0)))</f>
        <v/>
      </c>
    </row>
    <row r="29">
      <c r="A29" s="30" t="n">
        <v>571359</v>
      </c>
      <c r="B29" s="2" t="inlineStr">
        <is>
          <t>TATNEFT PJSC PREFERENCE RUB 1</t>
        </is>
      </c>
      <c r="C29" s="18" t="n">
        <v>18862.13</v>
      </c>
      <c r="D29" s="19">
        <f>C29/$C$51</f>
        <v/>
      </c>
      <c r="E29" s="38" t="inlineStr">
        <is>
          <t>0H5816S</t>
        </is>
      </c>
      <c r="F29" s="18" t="n"/>
      <c r="G29" s="3">
        <f>IF(B29="Subtotal"," ",(VLOOKUP(B29,'February 2023'!$B$12:$E$112,4,0)))</f>
        <v/>
      </c>
    </row>
    <row r="30" customFormat="1" s="35">
      <c r="A30" s="30" t="n"/>
      <c r="B30" s="27" t="inlineStr">
        <is>
          <t>Subtotal</t>
        </is>
      </c>
      <c r="C30" s="29">
        <f>+C29+C28</f>
        <v/>
      </c>
      <c r="D30" s="31">
        <f>C30/$C$51</f>
        <v/>
      </c>
      <c r="E30" s="34" t="inlineStr">
        <is>
          <t> </t>
        </is>
      </c>
      <c r="G30" s="3">
        <f>IF(B30="Subtotal"," ",(VLOOKUP(B30,'February 2023'!$B$12:$E$112,4,0)))</f>
        <v/>
      </c>
    </row>
    <row r="31">
      <c r="A31" s="28" t="n">
        <v>6156103</v>
      </c>
      <c r="B31" s="2" t="inlineStr">
        <is>
          <t>ROSTELECOM PJSC COMMON STOCK RUB</t>
        </is>
      </c>
      <c r="C31" s="18" t="n">
        <v>43409.1</v>
      </c>
      <c r="D31" s="19">
        <f>C31/$C$51</f>
        <v/>
      </c>
      <c r="E31" s="20" t="inlineStr">
        <is>
          <t>0H5802S</t>
        </is>
      </c>
      <c r="G31" s="3">
        <f>IF(B31="Subtotal"," ",(VLOOKUP(B31,'February 2023'!$B$12:$E$112,4,0)))</f>
        <v/>
      </c>
    </row>
    <row r="32">
      <c r="A32" s="28" t="n">
        <v>21233273216</v>
      </c>
      <c r="B32" s="2" t="inlineStr">
        <is>
          <t>VTB BANK PJSC COMMON STOCK RUB 0.01</t>
        </is>
      </c>
      <c r="C32" s="18" t="n">
        <v>41527.81</v>
      </c>
      <c r="D32" s="19">
        <f>C32/$C$51</f>
        <v/>
      </c>
      <c r="E32" s="20" t="inlineStr">
        <is>
          <t>0H5837S</t>
        </is>
      </c>
      <c r="G32" s="3">
        <f>IF(B32="Subtotal"," ",(VLOOKUP(B32,'February 2023'!$B$12:$E$112,4,0)))</f>
        <v/>
      </c>
    </row>
    <row r="33">
      <c r="A33" s="28" t="n">
        <v>4003270</v>
      </c>
      <c r="B33" s="2" t="inlineStr">
        <is>
          <t>DETSKY MIR PJSC COMMON STOCK RUB 0.0004</t>
        </is>
      </c>
      <c r="C33" s="18" t="n">
        <v>34074.67</v>
      </c>
      <c r="D33" s="19">
        <f>C33/$C$51</f>
        <v/>
      </c>
      <c r="E33" s="20" t="inlineStr">
        <is>
          <t>0H5850S</t>
        </is>
      </c>
      <c r="G33" s="3">
        <f>IF(B33="Subtotal"," ",(VLOOKUP(B33,'February 2023'!$B$12:$E$112,4,0)))</f>
        <v/>
      </c>
      <c r="L33" s="24" t="n"/>
      <c r="N33" s="25" t="n"/>
    </row>
    <row r="34">
      <c r="A34" s="30" t="n">
        <v>169819</v>
      </c>
      <c r="B34" s="2" t="inlineStr">
        <is>
          <t>YANDEX NV COMMON STOCK USD 0.01</t>
        </is>
      </c>
      <c r="C34" s="18" t="n">
        <v>26430.87</v>
      </c>
      <c r="D34" s="19">
        <f>C34/$C$51</f>
        <v/>
      </c>
      <c r="E34" s="20" t="inlineStr">
        <is>
          <t>0H6379S</t>
        </is>
      </c>
      <c r="G34" s="3">
        <f>IF(B34="Subtotal"," ",(VLOOKUP(B34,'February 2023'!$B$12:$E$112,4,0)))</f>
        <v/>
      </c>
    </row>
    <row r="35">
      <c r="A35" s="28" t="n">
        <v>432517</v>
      </c>
      <c r="B35" s="2" t="inlineStr">
        <is>
          <t>MD MEDICAL GROUP INVESTMENTS PLC GDR USD</t>
        </is>
      </c>
      <c r="C35" s="18" t="n">
        <v>20259.24</v>
      </c>
      <c r="D35" s="19">
        <f>C35/$C$51</f>
        <v/>
      </c>
      <c r="E35" s="20" t="inlineStr">
        <is>
          <t>0H6371S</t>
        </is>
      </c>
      <c r="G35" s="3">
        <f>IF(B35="Subtotal"," ",(VLOOKUP(B35,'February 2023'!$B$12:$E$112,4,0)))</f>
        <v/>
      </c>
    </row>
    <row r="36">
      <c r="A36" s="28" t="n">
        <v>12313057</v>
      </c>
      <c r="B36" s="2" t="inlineStr">
        <is>
          <t>SISTEMA PJSFC COMMON STOCK RUB 0.09</t>
        </is>
      </c>
      <c r="C36" s="18" t="n">
        <v>15227.25</v>
      </c>
      <c r="D36" s="19">
        <f>C36/$C$51</f>
        <v/>
      </c>
      <c r="E36" s="20" t="inlineStr">
        <is>
          <t>0H5808S</t>
        </is>
      </c>
      <c r="G36" s="3">
        <f>IF(B36="Subtotal"," ",(VLOOKUP(B36,'February 2023'!$B$12:$E$112,4,0)))</f>
        <v/>
      </c>
    </row>
    <row r="37">
      <c r="A37" s="28" t="n">
        <v>103572</v>
      </c>
      <c r="B37" s="2" t="inlineStr">
        <is>
          <t>NOVATEK PJSC COMMON STOCK RUB 0.1</t>
        </is>
      </c>
      <c r="C37" s="18" t="n">
        <v>13069.14</v>
      </c>
      <c r="D37" s="19">
        <f>C37/$C$51</f>
        <v/>
      </c>
      <c r="E37" s="20" t="inlineStr">
        <is>
          <t>2H6464S</t>
        </is>
      </c>
      <c r="G37" s="3">
        <f>IF(B37="Subtotal"," ",(VLOOKUP(B37,'February 2023'!$B$12:$E$112,4,0)))</f>
        <v/>
      </c>
    </row>
    <row r="38">
      <c r="A38" s="28" t="n">
        <v>126849</v>
      </c>
      <c r="B38" s="2" t="inlineStr">
        <is>
          <t>NOVATEK PJSC GDR USD</t>
        </is>
      </c>
      <c r="C38" s="18" t="n">
        <v>677.76</v>
      </c>
      <c r="D38" s="19">
        <f>C38/$C$51</f>
        <v/>
      </c>
      <c r="E38" s="20" t="inlineStr">
        <is>
          <t>0H6366S</t>
        </is>
      </c>
      <c r="G38" s="3" t="inlineStr">
        <is>
          <t>0H6366S</t>
        </is>
      </c>
    </row>
    <row r="39" customFormat="1" s="35">
      <c r="A39" s="30" t="n"/>
      <c r="B39" s="27" t="inlineStr">
        <is>
          <t>Subtotal</t>
        </is>
      </c>
      <c r="C39" s="29">
        <f>+C38+C37</f>
        <v/>
      </c>
      <c r="D39" s="31">
        <f>C39/$C$51</f>
        <v/>
      </c>
      <c r="E39" s="34" t="inlineStr">
        <is>
          <t> </t>
        </is>
      </c>
      <c r="G39" s="3">
        <f>IF(B39="Subtotal"," ",(VLOOKUP(B39,'February 2023'!$B$12:$E$112,4,0)))</f>
        <v/>
      </c>
    </row>
    <row r="40">
      <c r="A40" s="28" t="n">
        <v>577525</v>
      </c>
      <c r="B40" s="2" t="inlineStr">
        <is>
          <t>FIX PRICE GROUP LTD GDR</t>
        </is>
      </c>
      <c r="C40" s="18" t="n">
        <v>4461.12</v>
      </c>
      <c r="D40" s="19">
        <f>C40/$C$51</f>
        <v/>
      </c>
      <c r="E40" s="20" t="inlineStr">
        <is>
          <t>0H6372S</t>
        </is>
      </c>
      <c r="G40" s="3">
        <f>IF(B40="Subtotal"," ",(VLOOKUP(B40,'February 2023'!$B$12:$E$112,4,0)))</f>
        <v/>
      </c>
    </row>
    <row r="41">
      <c r="A41" s="28" t="n">
        <v>75226</v>
      </c>
      <c r="B41" s="2" t="inlineStr">
        <is>
          <t>TCS GROUP HOLDING PLC GDR</t>
        </is>
      </c>
      <c r="C41" s="18" t="n">
        <v>1973.84</v>
      </c>
      <c r="D41" s="19">
        <f>C41/$C$51</f>
        <v/>
      </c>
      <c r="E41" s="20" t="inlineStr">
        <is>
          <t>0H6380S</t>
        </is>
      </c>
      <c r="G41" s="3">
        <f>IF(B41="Subtotal"," ",(VLOOKUP(B41,'February 2023'!$B$12:$E$112,4,0)))</f>
        <v/>
      </c>
    </row>
    <row r="42">
      <c r="A42" s="28" t="n">
        <v>59546</v>
      </c>
      <c r="B42" s="2" t="inlineStr">
        <is>
          <t>POLYUS PJSC GDR</t>
        </is>
      </c>
      <c r="C42" s="18" t="n">
        <v>1908.37</v>
      </c>
      <c r="D42" s="19">
        <f>C42/$C$51</f>
        <v/>
      </c>
      <c r="E42" s="20" t="inlineStr">
        <is>
          <t>0H6381S</t>
        </is>
      </c>
      <c r="G42" s="3" t="inlineStr">
        <is>
          <t>0H6381S</t>
        </is>
      </c>
    </row>
    <row r="43">
      <c r="A43" s="30" t="n">
        <v>275182</v>
      </c>
      <c r="B43" s="2" t="inlineStr">
        <is>
          <t>X 5 RETAIL GROUP NV-REGS GDR</t>
        </is>
      </c>
      <c r="C43" s="33" t="n">
        <v>1201.68</v>
      </c>
      <c r="D43" s="19">
        <f>C43/$C$51</f>
        <v/>
      </c>
      <c r="E43" s="20" t="inlineStr">
        <is>
          <t>0H6365S</t>
        </is>
      </c>
      <c r="G43" s="3">
        <f>IF(B43="Subtotal"," ",(VLOOKUP(B43,'February 2023'!$B$12:$E$112,4,0)))</f>
        <v/>
      </c>
    </row>
    <row r="44">
      <c r="A44" s="28" t="n">
        <v>365735</v>
      </c>
      <c r="B44" s="2" t="inlineStr">
        <is>
          <t>NOVOLIPETSK STEEL PJSC GDR</t>
        </is>
      </c>
      <c r="C44" s="18" t="n">
        <v>950.3200000000001</v>
      </c>
      <c r="D44" s="19">
        <f>C44/$C$51</f>
        <v/>
      </c>
      <c r="E44" s="20" t="inlineStr">
        <is>
          <t>0H6378S</t>
        </is>
      </c>
      <c r="G44" s="3" t="inlineStr">
        <is>
          <t>0H6378S</t>
        </is>
      </c>
    </row>
    <row r="45">
      <c r="A45" s="28" t="n">
        <v>552780</v>
      </c>
      <c r="B45" s="2" t="inlineStr">
        <is>
          <t>SEVERSTAL PAO GDR USD</t>
        </is>
      </c>
      <c r="C45" s="18" t="n">
        <v>273.01</v>
      </c>
      <c r="D45" s="19">
        <f>C45/$C$51</f>
        <v/>
      </c>
      <c r="E45" s="20" t="inlineStr">
        <is>
          <t>0H6368S</t>
        </is>
      </c>
      <c r="G45" s="3">
        <f>IF(B45="Subtotal"," ",(VLOOKUP(B45,'February 2023'!$B$12:$E$112,4,0)))</f>
        <v/>
      </c>
    </row>
    <row r="46">
      <c r="A46" s="28" t="n"/>
      <c r="C46" s="18" t="n"/>
      <c r="D46" s="19" t="n"/>
      <c r="E46" s="20" t="n"/>
    </row>
    <row r="47">
      <c r="C47" s="18" t="n"/>
      <c r="D47" s="19" t="n"/>
      <c r="E47" s="20" t="n"/>
    </row>
    <row r="48">
      <c r="A48" s="21" t="n"/>
      <c r="B48" s="21" t="inlineStr">
        <is>
          <t>Total portfolio</t>
        </is>
      </c>
      <c r="C48" s="39" t="n">
        <v>18234174.55000001</v>
      </c>
      <c r="D48" s="19">
        <f>C48/$C$51</f>
        <v/>
      </c>
    </row>
    <row r="49">
      <c r="B49" s="21" t="inlineStr">
        <is>
          <t>Net Current Assets</t>
        </is>
      </c>
      <c r="C49" s="39" t="n">
        <v>112871.68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1.xml><?xml version="1.0" encoding="utf-8"?>
<worksheet xmlns="http://schemas.openxmlformats.org/spreadsheetml/2006/main">
  <sheetPr>
    <outlinePr summaryBelow="1" summaryRight="1"/>
    <pageSetUpPr/>
  </sheetPr>
  <dimension ref="A1:N55"/>
  <sheetViews>
    <sheetView workbookViewId="0">
      <selection activeCell="E32" sqref="E32"/>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 June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2068104.66</v>
      </c>
      <c r="B12" s="2" t="inlineStr">
        <is>
          <t>JPM USD LIQUIDITY LVNAV X (DIST.)</t>
        </is>
      </c>
      <c r="C12" s="18" t="n">
        <v>1702914.69</v>
      </c>
      <c r="D12" s="19">
        <f>C12/$C$51</f>
        <v/>
      </c>
      <c r="E12" s="38" t="inlineStr">
        <is>
          <t>7253766</t>
        </is>
      </c>
      <c r="G12" s="3" t="inlineStr">
        <is>
          <t>7253766</t>
        </is>
      </c>
    </row>
    <row r="13">
      <c r="A13" s="28" t="n">
        <v>8860909</v>
      </c>
      <c r="B13" s="2" t="inlineStr">
        <is>
          <t>GAZPROM PJSC COMMON STOCK RUB</t>
        </is>
      </c>
      <c r="C13" s="18" t="n">
        <v>210122.74</v>
      </c>
      <c r="D13" s="19">
        <f>C13/$C$51</f>
        <v/>
      </c>
      <c r="E13" s="38" t="inlineStr">
        <is>
          <t>0H5796S</t>
        </is>
      </c>
      <c r="G13" s="3">
        <f>IF(B13="Subtotal"," ",(VLOOKUP(B13,'July 2022'!$B$12:$E$112,4,0)))</f>
        <v/>
      </c>
    </row>
    <row r="14">
      <c r="A14" s="28" t="n">
        <v>5365084</v>
      </c>
      <c r="B14" s="2" t="inlineStr">
        <is>
          <t>GAZPROM PJSC ADR</t>
        </is>
      </c>
      <c r="C14" s="18" t="n">
        <v>25684.55</v>
      </c>
      <c r="D14" s="19">
        <f>C14/$C$51</f>
        <v/>
      </c>
      <c r="E14" s="38" t="inlineStr">
        <is>
          <t>0H6364S</t>
        </is>
      </c>
      <c r="G14" s="3">
        <f>IF(B14="Subtotal"," ",(VLOOKUP(B14,'July 2022'!$B$12:$E$112,4,0)))</f>
        <v/>
      </c>
    </row>
    <row r="15" customFormat="1" s="35">
      <c r="A15" s="30" t="n"/>
      <c r="B15" s="27" t="inlineStr">
        <is>
          <t>Subtotal</t>
        </is>
      </c>
      <c r="C15" s="29" t="n">
        <v>235807.29</v>
      </c>
      <c r="D15" s="31">
        <f>C15/$C$51</f>
        <v/>
      </c>
      <c r="E15" s="34" t="inlineStr">
        <is>
          <t> </t>
        </is>
      </c>
      <c r="G15" s="3">
        <f>IF(B15="Subtotal"," ",(VLOOKUP(B15,'July 2022'!$B$12:$E$112,4,0)))</f>
        <v/>
      </c>
    </row>
    <row r="16">
      <c r="A16" s="28" t="n">
        <v>14455036</v>
      </c>
      <c r="B16" s="2" t="inlineStr">
        <is>
          <t>SBERBANK OF RUSSIA PJSC PREFERENCE RUB 3</t>
        </is>
      </c>
      <c r="C16" s="18" t="n">
        <v>189091.32</v>
      </c>
      <c r="D16" s="19">
        <f>C16/$C$51</f>
        <v/>
      </c>
      <c r="E16" s="20" t="inlineStr">
        <is>
          <t>0H5856S</t>
        </is>
      </c>
      <c r="G16" s="3">
        <f>IF(B16="Subtotal"," ",(VLOOKUP(B16,'July 2022'!$B$12:$E$112,4,0)))</f>
        <v/>
      </c>
    </row>
    <row r="17">
      <c r="A17" s="28" t="n">
        <v>2355925</v>
      </c>
      <c r="B17" s="2" t="inlineStr">
        <is>
          <t>SBERBANK OF RUSSIA PJSC</t>
        </is>
      </c>
      <c r="C17" s="18" t="n">
        <v>30595.93</v>
      </c>
      <c r="D17" s="19">
        <f>C17/$C$51</f>
        <v/>
      </c>
      <c r="E17" s="20" t="inlineStr">
        <is>
          <t>0H5855S</t>
        </is>
      </c>
      <c r="G17" s="3">
        <f>IF(B17="Subtotal"," ",(VLOOKUP(B17,'July 2022'!$B$12:$E$112,4,0)))</f>
        <v/>
      </c>
    </row>
    <row r="18" customFormat="1" s="35">
      <c r="A18" s="30" t="n"/>
      <c r="B18" s="27" t="inlineStr">
        <is>
          <t>Subtotal</t>
        </is>
      </c>
      <c r="C18" s="29" t="n">
        <v>219687.25</v>
      </c>
      <c r="D18" s="31">
        <f>C18/$C$51</f>
        <v/>
      </c>
      <c r="E18" s="34" t="inlineStr">
        <is>
          <t> </t>
        </is>
      </c>
      <c r="G18" s="3">
        <f>IF(B18="Subtotal"," ",(VLOOKUP(B18,'July 2022'!$B$12:$E$112,4,0)))</f>
        <v/>
      </c>
    </row>
    <row r="19">
      <c r="A19" s="30" t="n">
        <v>71192</v>
      </c>
      <c r="B19" s="2" t="inlineStr">
        <is>
          <t>MMC NORILSK NICKEL PJSC COMMON STOCK RUB 1</t>
        </is>
      </c>
      <c r="C19" s="33" t="n">
        <v>141694.48</v>
      </c>
      <c r="D19" s="19">
        <f>C19/$C$51</f>
        <v/>
      </c>
      <c r="E19" s="38" t="inlineStr">
        <is>
          <t>0H5804S</t>
        </is>
      </c>
      <c r="G19" s="3">
        <f>IF(B19="Subtotal"," ",(VLOOKUP(B19,'July 2022'!$B$12:$E$112,4,0)))</f>
        <v/>
      </c>
    </row>
    <row r="20">
      <c r="A20" s="28" t="n">
        <v>262047</v>
      </c>
      <c r="B20" s="2" t="inlineStr">
        <is>
          <t>LUKOIL PJSC COMMON STOCK RUB</t>
        </is>
      </c>
      <c r="C20" s="18" t="n">
        <v>134555.04</v>
      </c>
      <c r="D20" s="19">
        <f>C20/$C$51</f>
        <v/>
      </c>
      <c r="E20" s="38" t="inlineStr">
        <is>
          <t>0H5797S</t>
        </is>
      </c>
      <c r="G20" s="3">
        <f>IF(B20="Subtotal"," ",(VLOOKUP(B20,'July 2022'!$B$12:$E$112,4,0)))</f>
        <v/>
      </c>
    </row>
    <row r="21">
      <c r="A21" s="28" t="n">
        <v>362649</v>
      </c>
      <c r="B21" s="2" t="inlineStr">
        <is>
          <t>LUKOIL PJSC ADR</t>
        </is>
      </c>
      <c r="C21" s="18" t="n">
        <v>2150</v>
      </c>
      <c r="D21" s="19">
        <f>C21/$C$51</f>
        <v/>
      </c>
      <c r="E21" s="20" t="inlineStr">
        <is>
          <t>0H6400S</t>
        </is>
      </c>
      <c r="G21" s="3">
        <f>IF(B21="Subtotal"," ",(VLOOKUP(B21,'July 2022'!$B$12:$E$112,4,0)))</f>
        <v/>
      </c>
    </row>
    <row r="22" customFormat="1" s="35">
      <c r="A22" s="30" t="n"/>
      <c r="B22" s="27" t="inlineStr">
        <is>
          <t>Subtotal</t>
        </is>
      </c>
      <c r="C22" s="29" t="n">
        <v>136705.04</v>
      </c>
      <c r="D22" s="31">
        <f>C22/$C$51</f>
        <v/>
      </c>
      <c r="E22" s="34" t="inlineStr">
        <is>
          <t> </t>
        </is>
      </c>
      <c r="G22" s="3">
        <f>IF(B22="Subtotal"," ",(VLOOKUP(B22,'July 2022'!$B$12:$E$112,4,0)))</f>
        <v/>
      </c>
    </row>
    <row r="23">
      <c r="A23" s="28" t="n">
        <v>2041744</v>
      </c>
      <c r="B23" s="2" t="inlineStr">
        <is>
          <t>ROSNEFT OIL CO PJSC COMMON STOCK RUB 0.01</t>
        </is>
      </c>
      <c r="C23" s="18" t="n">
        <v>62581.19</v>
      </c>
      <c r="D23" s="19">
        <f>C23/$C$51</f>
        <v/>
      </c>
      <c r="E23" s="20" t="inlineStr">
        <is>
          <t>0H5827S</t>
        </is>
      </c>
      <c r="G23" s="3">
        <f>IF(B23="Subtotal"," ",(VLOOKUP(B23,'July 2022'!$B$12:$E$112,4,0)))</f>
        <v/>
      </c>
    </row>
    <row r="24">
      <c r="A24" s="28" t="n">
        <v>1677948</v>
      </c>
      <c r="B24" s="2" t="inlineStr">
        <is>
          <t>ROSNEFT OIL CO PJSC</t>
        </is>
      </c>
      <c r="C24" s="18" t="n">
        <v>8314.780000000001</v>
      </c>
      <c r="D24" s="19">
        <f>C24/$C$51</f>
        <v/>
      </c>
      <c r="E24" s="20" t="inlineStr">
        <is>
          <t>0H6367S</t>
        </is>
      </c>
      <c r="G24" s="3">
        <f>IF(B24="Subtotal"," ",(VLOOKUP(B24,'July 2022'!$B$12:$E$112,4,0)))</f>
        <v/>
      </c>
    </row>
    <row r="25" customFormat="1" s="35">
      <c r="A25" s="30" t="n"/>
      <c r="B25" s="27" t="inlineStr">
        <is>
          <t>Subtotal</t>
        </is>
      </c>
      <c r="C25" s="29" t="n">
        <v>70895.97</v>
      </c>
      <c r="D25" s="31">
        <f>C25/$C$51</f>
        <v/>
      </c>
      <c r="E25" s="34" t="inlineStr">
        <is>
          <t> </t>
        </is>
      </c>
      <c r="G25" s="3">
        <f>IF(B25="Subtotal"," ",(VLOOKUP(B25,'July 2022'!$B$12:$E$112,4,0)))</f>
        <v/>
      </c>
    </row>
    <row r="26">
      <c r="A26" s="30" t="n">
        <v>180877</v>
      </c>
      <c r="B26" s="2" t="inlineStr">
        <is>
          <t>MAGNIT PJSC COMMON STOCK RUB 0.01</t>
        </is>
      </c>
      <c r="C26" s="18" t="n">
        <v>55800.33</v>
      </c>
      <c r="D26" s="19">
        <f>C26/$C$51</f>
        <v/>
      </c>
      <c r="E26" s="20" t="inlineStr">
        <is>
          <t>0H5813S</t>
        </is>
      </c>
      <c r="G26" s="3">
        <f>IF(B26="Subtotal"," ",(VLOOKUP(B26,'July 2022'!$B$12:$E$112,4,0)))</f>
        <v/>
      </c>
    </row>
    <row r="27">
      <c r="A27" s="28" t="n">
        <v>1265335</v>
      </c>
      <c r="B27" s="2" t="inlineStr">
        <is>
          <t>GAZPROM NEFT PJSC COMMON STOCK RUB</t>
        </is>
      </c>
      <c r="C27" s="18" t="n">
        <v>50424.97</v>
      </c>
      <c r="D27" s="19">
        <f>C27/$C$51</f>
        <v/>
      </c>
      <c r="E27" s="38" t="inlineStr">
        <is>
          <t>0H5803S</t>
        </is>
      </c>
      <c r="G27" s="3">
        <f>IF(B27="Subtotal"," ",(VLOOKUP(B27,'July 2022'!$B$12:$E$112,4,0)))</f>
        <v/>
      </c>
    </row>
    <row r="28">
      <c r="A28" s="28" t="n">
        <v>730066</v>
      </c>
      <c r="B28" s="2" t="inlineStr">
        <is>
          <t>TATNEFT PJSC COMMON STOCK RUB</t>
        </is>
      </c>
      <c r="C28" s="18" t="n">
        <v>27270.67</v>
      </c>
      <c r="D28" s="19">
        <f>C28/$C$51</f>
        <v/>
      </c>
      <c r="E28" s="38" t="inlineStr">
        <is>
          <t>0H5822S</t>
        </is>
      </c>
      <c r="G28" s="3">
        <f>IF(B28="Subtotal"," ",(VLOOKUP(B28,'July 2022'!$B$12:$E$112,4,0)))</f>
        <v/>
      </c>
    </row>
    <row r="29">
      <c r="A29" s="30" t="n">
        <v>571359</v>
      </c>
      <c r="B29" s="2" t="inlineStr">
        <is>
          <t>TATNEFT PJSC PREFERENCE RUB 1</t>
        </is>
      </c>
      <c r="C29" s="18" t="n">
        <v>18900.18</v>
      </c>
      <c r="D29" s="19">
        <f>C29/$C$51</f>
        <v/>
      </c>
      <c r="E29" s="38" t="inlineStr">
        <is>
          <t>0H5816S</t>
        </is>
      </c>
      <c r="F29" s="18" t="n"/>
      <c r="G29" s="3">
        <f>IF(B29="Subtotal"," ",(VLOOKUP(B29,'July 2022'!$B$12:$E$112,4,0)))</f>
        <v/>
      </c>
    </row>
    <row r="30" customFormat="1" s="35">
      <c r="A30" s="30" t="n"/>
      <c r="B30" s="27" t="inlineStr">
        <is>
          <t>Subtotal</t>
        </is>
      </c>
      <c r="C30" s="29" t="n">
        <v>46170.85</v>
      </c>
      <c r="D30" s="31">
        <f>C30/$C$51</f>
        <v/>
      </c>
      <c r="E30" s="34" t="inlineStr">
        <is>
          <t> </t>
        </is>
      </c>
      <c r="G30" s="3">
        <f>IF(B30="Subtotal"," ",(VLOOKUP(B30,'July 2022'!$B$12:$E$112,4,0)))</f>
        <v/>
      </c>
    </row>
    <row r="31">
      <c r="A31" s="28" t="n">
        <v>6156103</v>
      </c>
      <c r="B31" s="2" t="inlineStr">
        <is>
          <t>ROSTELECOM PJSC COMMON STOCK RUB</t>
        </is>
      </c>
      <c r="C31" s="18" t="n">
        <v>43496.67</v>
      </c>
      <c r="D31" s="19">
        <f>C31/$C$51</f>
        <v/>
      </c>
      <c r="E31" s="20" t="inlineStr">
        <is>
          <t>0H5802S</t>
        </is>
      </c>
      <c r="G31" s="3">
        <f>IF(B31="Subtotal"," ",(VLOOKUP(B31,'July 2022'!$B$12:$E$112,4,0)))</f>
        <v/>
      </c>
    </row>
    <row r="32">
      <c r="A32" s="28" t="n">
        <v>21233273216</v>
      </c>
      <c r="B32" s="2" t="inlineStr">
        <is>
          <t>VTB BANK PJSC COMMON STOCK RUB 0.01</t>
        </is>
      </c>
      <c r="C32" s="18" t="n">
        <v>41611.59</v>
      </c>
      <c r="D32" s="19">
        <f>C32/$C$51</f>
        <v/>
      </c>
      <c r="E32" s="20" t="inlineStr">
        <is>
          <t>0H5837S</t>
        </is>
      </c>
      <c r="G32" s="3">
        <f>IF(B32="Subtotal"," ",(VLOOKUP(B32,'July 2022'!$B$12:$E$112,4,0)))</f>
        <v/>
      </c>
    </row>
    <row r="33">
      <c r="A33" s="28" t="n">
        <v>4003270</v>
      </c>
      <c r="B33" s="2" t="inlineStr">
        <is>
          <t>DETSKY MIR PJSC COMMON STOCK RUB 0.0004</t>
        </is>
      </c>
      <c r="C33" s="18" t="n">
        <v>34143.42</v>
      </c>
      <c r="D33" s="19">
        <f>C33/$C$51</f>
        <v/>
      </c>
      <c r="E33" s="20" t="inlineStr">
        <is>
          <t>0H5850S</t>
        </is>
      </c>
      <c r="G33" s="3">
        <f>IF(B33="Subtotal"," ",(VLOOKUP(B33,'July 2022'!$B$12:$E$112,4,0)))</f>
        <v/>
      </c>
      <c r="L33" s="24" t="n"/>
      <c r="N33" s="25" t="n"/>
    </row>
    <row r="34">
      <c r="A34" s="30" t="n">
        <v>169819</v>
      </c>
      <c r="B34" s="2" t="inlineStr">
        <is>
          <t>YANDEX NV COMMON STOCK USD 0.01</t>
        </is>
      </c>
      <c r="C34" s="18" t="n">
        <v>26484.19</v>
      </c>
      <c r="D34" s="19">
        <f>C34/$C$51</f>
        <v/>
      </c>
      <c r="E34" s="20" t="inlineStr">
        <is>
          <t>0H6379S</t>
        </is>
      </c>
      <c r="G34" s="3">
        <f>IF(B34="Subtotal"," ",(VLOOKUP(B34,'July 2022'!$B$12:$E$112,4,0)))</f>
        <v/>
      </c>
    </row>
    <row r="35">
      <c r="A35" s="28" t="n">
        <v>432517</v>
      </c>
      <c r="B35" s="2" t="inlineStr">
        <is>
          <t>MD MEDICAL GROUP INVESTMENTS PLC GDR USD</t>
        </is>
      </c>
      <c r="C35" s="18" t="n">
        <v>20300.11</v>
      </c>
      <c r="D35" s="19">
        <f>C35/$C$51</f>
        <v/>
      </c>
      <c r="E35" s="20" t="inlineStr">
        <is>
          <t>0H6371S</t>
        </is>
      </c>
      <c r="G35" s="3">
        <f>IF(B35="Subtotal"," ",(VLOOKUP(B35,'July 2022'!$B$12:$E$112,4,0)))</f>
        <v/>
      </c>
    </row>
    <row r="36">
      <c r="A36" s="28" t="n">
        <v>12313057</v>
      </c>
      <c r="B36" s="2" t="inlineStr">
        <is>
          <t>SISTEMA PJSFC COMMON STOCK RUB 0.09</t>
        </is>
      </c>
      <c r="C36" s="18" t="n">
        <v>15257.97</v>
      </c>
      <c r="D36" s="19">
        <f>C36/$C$51</f>
        <v/>
      </c>
      <c r="E36" s="20" t="inlineStr">
        <is>
          <t>0H5808S</t>
        </is>
      </c>
      <c r="G36" s="3">
        <f>IF(B36="Subtotal"," ",(VLOOKUP(B36,'July 2022'!$B$12:$E$112,4,0)))</f>
        <v/>
      </c>
    </row>
    <row r="37">
      <c r="A37" s="28" t="n">
        <v>103572</v>
      </c>
      <c r="B37" s="2" t="inlineStr">
        <is>
          <t>NOVATEK PJSC COMMON STOCK RUB 0.1</t>
        </is>
      </c>
      <c r="C37" s="18" t="n">
        <v>13095.51</v>
      </c>
      <c r="D37" s="19">
        <f>C37/$C$51</f>
        <v/>
      </c>
      <c r="E37" s="20" t="inlineStr">
        <is>
          <t>2H6464S</t>
        </is>
      </c>
      <c r="G37" s="3">
        <f>IF(B37="Subtotal"," ",(VLOOKUP(B37,'July 2022'!$B$12:$E$112,4,0)))</f>
        <v/>
      </c>
    </row>
    <row r="38">
      <c r="A38" s="28" t="n">
        <v>126849</v>
      </c>
      <c r="B38" s="2" t="inlineStr">
        <is>
          <t>NOVATEK PJSC GDR USD</t>
        </is>
      </c>
      <c r="C38" s="18" t="n">
        <v>679.13</v>
      </c>
      <c r="D38" s="19">
        <f>C38/$C$51</f>
        <v/>
      </c>
      <c r="E38" s="20" t="inlineStr">
        <is>
          <t>0H6366S</t>
        </is>
      </c>
      <c r="G38" s="3">
        <f>IF(B38="Subtotal"," ",(VLOOKUP(B38,'July 2022'!$B$12:$E$112,4,0)))</f>
        <v/>
      </c>
    </row>
    <row r="39" customFormat="1" s="35">
      <c r="A39" s="30" t="n"/>
      <c r="B39" s="27" t="inlineStr">
        <is>
          <t>Subtotal</t>
        </is>
      </c>
      <c r="C39" s="29" t="n">
        <v>13774.64</v>
      </c>
      <c r="D39" s="31">
        <f>C39/$C$51</f>
        <v/>
      </c>
      <c r="E39" s="34" t="inlineStr">
        <is>
          <t> </t>
        </is>
      </c>
      <c r="G39" s="3">
        <f>IF(B39="Subtotal"," ",(VLOOKUP(B39,'July 2022'!$B$12:$E$112,4,0)))</f>
        <v/>
      </c>
    </row>
    <row r="40">
      <c r="A40" s="28" t="n">
        <v>577525</v>
      </c>
      <c r="B40" s="2" t="inlineStr">
        <is>
          <t>FIX PRICE GROUP LTD GDR</t>
        </is>
      </c>
      <c r="C40" s="18" t="n">
        <v>4470.12</v>
      </c>
      <c r="D40" s="19">
        <f>C40/$C$51</f>
        <v/>
      </c>
      <c r="E40" s="20" t="inlineStr">
        <is>
          <t>0H6372S</t>
        </is>
      </c>
      <c r="G40" s="3">
        <f>IF(B40="Subtotal"," ",(VLOOKUP(B40,'July 2022'!$B$12:$E$112,4,0)))</f>
        <v/>
      </c>
    </row>
    <row r="41">
      <c r="A41" s="28" t="n">
        <v>75226</v>
      </c>
      <c r="B41" s="2" t="inlineStr">
        <is>
          <t>TCS GROUP HOLDING PLC GDR</t>
        </is>
      </c>
      <c r="C41" s="18" t="n">
        <v>1977.83</v>
      </c>
      <c r="D41" s="19">
        <f>C41/$C$51</f>
        <v/>
      </c>
      <c r="E41" s="20" t="inlineStr">
        <is>
          <t>0H6380S</t>
        </is>
      </c>
      <c r="G41" s="3">
        <f>IF(B41="Subtotal"," ",(VLOOKUP(B41,'July 2022'!$B$12:$E$112,4,0)))</f>
        <v/>
      </c>
    </row>
    <row r="42">
      <c r="A42" s="28" t="n">
        <v>59546</v>
      </c>
      <c r="B42" s="2" t="inlineStr">
        <is>
          <t>POLYUS PJSC GDR</t>
        </is>
      </c>
      <c r="C42" s="18" t="n">
        <v>1912.22</v>
      </c>
      <c r="D42" s="19">
        <f>C42/$C$51</f>
        <v/>
      </c>
      <c r="E42" s="20" t="inlineStr">
        <is>
          <t>0H6381S</t>
        </is>
      </c>
      <c r="G42" s="3">
        <f>IF(B42="Subtotal"," ",(VLOOKUP(B42,'July 2022'!$B$12:$E$112,4,0)))</f>
        <v/>
      </c>
    </row>
    <row r="43">
      <c r="A43" s="30" t="n">
        <v>275182</v>
      </c>
      <c r="B43" s="2" t="inlineStr">
        <is>
          <t>X 5 RETAIL GROUP NV-REGS GDR</t>
        </is>
      </c>
      <c r="C43" s="29" t="n">
        <v>1204.1</v>
      </c>
      <c r="D43" s="19">
        <f>C43/$C$51</f>
        <v/>
      </c>
      <c r="E43" s="20" t="inlineStr">
        <is>
          <t>0H6365S</t>
        </is>
      </c>
      <c r="G43" s="3">
        <f>IF(B43="Subtotal"," ",(VLOOKUP(B43,'July 2022'!$B$12:$E$112,4,0)))</f>
        <v/>
      </c>
    </row>
    <row r="44">
      <c r="A44" s="28" t="n">
        <v>365735</v>
      </c>
      <c r="B44" s="2" t="inlineStr">
        <is>
          <t>NOVOLIPETSK STEEL PJSC GDR</t>
        </is>
      </c>
      <c r="C44" s="18" t="n">
        <v>952.24</v>
      </c>
      <c r="D44" s="19">
        <f>C44/$C$51</f>
        <v/>
      </c>
      <c r="E44" s="20" t="inlineStr">
        <is>
          <t>0H6378S</t>
        </is>
      </c>
      <c r="G44" s="3">
        <f>IF(B44="Subtotal"," ",(VLOOKUP(B44,'July 2022'!$B$12:$E$112,4,0)))</f>
        <v/>
      </c>
    </row>
    <row r="45">
      <c r="A45" s="28" t="n">
        <v>552780</v>
      </c>
      <c r="B45" s="2" t="inlineStr">
        <is>
          <t>SEVERSTAL PAO GDR USD</t>
        </is>
      </c>
      <c r="C45" s="18" t="n">
        <v>273.56</v>
      </c>
      <c r="D45" s="19">
        <f>C45/$C$51</f>
        <v/>
      </c>
      <c r="E45" s="20" t="inlineStr">
        <is>
          <t>0H6368S</t>
        </is>
      </c>
      <c r="G45" s="3">
        <f>IF(B45="Subtotal"," ",(VLOOKUP(B45,'July 2022'!$B$12:$E$112,4,0)))</f>
        <v/>
      </c>
    </row>
    <row r="46">
      <c r="A46" s="28" t="n"/>
      <c r="C46" s="18" t="n"/>
      <c r="D46" s="19" t="n"/>
      <c r="E46" s="20" t="n"/>
    </row>
    <row r="47">
      <c r="C47" s="18" t="n"/>
      <c r="D47" s="19" t="n"/>
      <c r="E47" s="20" t="n"/>
    </row>
    <row r="48">
      <c r="A48" s="21" t="n"/>
      <c r="B48" s="21" t="inlineStr">
        <is>
          <t>Total portfolio</t>
        </is>
      </c>
      <c r="C48" s="39" t="n">
        <v>2865959.53</v>
      </c>
      <c r="D48" s="19">
        <f>C48/$C$51</f>
        <v/>
      </c>
    </row>
    <row r="49">
      <c r="B49" s="21" t="inlineStr">
        <is>
          <t>Net Current Assets</t>
        </is>
      </c>
      <c r="C49" s="39" t="n">
        <v>15234682.04</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2.xml><?xml version="1.0" encoding="utf-8"?>
<worksheet xmlns="http://schemas.openxmlformats.org/spreadsheetml/2006/main">
  <sheetPr>
    <outlinePr summaryBelow="1" summaryRight="1"/>
    <pageSetUpPr/>
  </sheetPr>
  <dimension ref="A1:N55"/>
  <sheetViews>
    <sheetView workbookViewId="0">
      <selection activeCell="D43" sqref="D43"/>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May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2057702.13</v>
      </c>
      <c r="B12" s="2" t="inlineStr">
        <is>
          <t>JPM USD LIQUIDITY LVNAV X (DIST.)</t>
        </is>
      </c>
      <c r="C12" s="18" t="n">
        <v>1632708.22</v>
      </c>
      <c r="D12" s="19">
        <f>C12/$C$51</f>
        <v/>
      </c>
      <c r="E12" s="20" t="inlineStr">
        <is>
          <t>7253766</t>
        </is>
      </c>
      <c r="G12" s="3">
        <f>IF(B12="Subtotal"," ",(VLOOKUP(B12,'June 2022'!$B$12:$E$112,4,0)))</f>
        <v/>
      </c>
    </row>
    <row r="13">
      <c r="A13" s="28" t="n">
        <v>8860909</v>
      </c>
      <c r="B13" s="2" t="inlineStr">
        <is>
          <t>GAZPROM PJSC COMMON STOCK RUB</t>
        </is>
      </c>
      <c r="C13" s="18" t="n">
        <v>202478.42</v>
      </c>
      <c r="D13" s="19">
        <f>C13/$C$51</f>
        <v/>
      </c>
      <c r="E13" s="20" t="inlineStr">
        <is>
          <t>0H5796S</t>
        </is>
      </c>
      <c r="G13" s="3">
        <f>IF(B13="Subtotal"," ",(VLOOKUP(B13,'June 2022'!$B$12:$E$112,4,0)))</f>
        <v/>
      </c>
    </row>
    <row r="14">
      <c r="A14" s="28" t="n">
        <v>5365084</v>
      </c>
      <c r="B14" s="2" t="inlineStr">
        <is>
          <t>GAZPROM PJSC ADR</t>
        </is>
      </c>
      <c r="C14" s="18" t="n">
        <v>24750.14</v>
      </c>
      <c r="D14" s="19">
        <f>C14/$C$51</f>
        <v/>
      </c>
      <c r="E14" s="20" t="inlineStr">
        <is>
          <t>0H6364S</t>
        </is>
      </c>
      <c r="G14" s="3">
        <f>IF(B14="Subtotal"," ",(VLOOKUP(B14,'June 2022'!$B$12:$E$112,4,0)))</f>
        <v/>
      </c>
    </row>
    <row r="15" customFormat="1" s="35">
      <c r="A15" s="30" t="n"/>
      <c r="B15" s="27" t="inlineStr">
        <is>
          <t>Subtotal</t>
        </is>
      </c>
      <c r="C15" s="29" t="n">
        <v>227228.56</v>
      </c>
      <c r="D15" s="31">
        <f>C15/$C$51</f>
        <v/>
      </c>
      <c r="E15" s="34" t="inlineStr">
        <is>
          <t> </t>
        </is>
      </c>
      <c r="G15" s="3">
        <f>IF(B15="Subtotal"," ",(VLOOKUP(B15,'June 2022'!$B$12:$E$112,4,0)))</f>
        <v/>
      </c>
    </row>
    <row r="16">
      <c r="A16" s="28" t="n">
        <v>14455036</v>
      </c>
      <c r="B16" s="2" t="inlineStr">
        <is>
          <t>SBERBANK OF RUSSIA PJSC PREFERENCE RUB 3</t>
        </is>
      </c>
      <c r="C16" s="18" t="n">
        <v>182212.14</v>
      </c>
      <c r="D16" s="19">
        <f>C16/$C$51</f>
        <v/>
      </c>
      <c r="E16" s="20" t="inlineStr">
        <is>
          <t>0H5856S</t>
        </is>
      </c>
      <c r="G16" s="3">
        <f>IF(B16="Subtotal"," ",(VLOOKUP(B16,'June 2022'!$B$12:$E$112,4,0)))</f>
        <v/>
      </c>
    </row>
    <row r="17">
      <c r="A17" s="28" t="n">
        <v>2355925</v>
      </c>
      <c r="B17" s="2" t="inlineStr">
        <is>
          <t>SBERBANK OF RUSSIA PJSC</t>
        </is>
      </c>
      <c r="C17" s="18" t="n">
        <v>29482.85</v>
      </c>
      <c r="D17" s="19">
        <f>C17/$C$51</f>
        <v/>
      </c>
      <c r="E17" s="20" t="inlineStr">
        <is>
          <t>0H5855S</t>
        </is>
      </c>
      <c r="G17" s="3">
        <f>IF(B17="Subtotal"," ",(VLOOKUP(B17,'June 2022'!$B$12:$E$112,4,0)))</f>
        <v/>
      </c>
    </row>
    <row r="18" customFormat="1" s="35">
      <c r="A18" s="30" t="n"/>
      <c r="B18" s="27" t="inlineStr">
        <is>
          <t>Subtotal</t>
        </is>
      </c>
      <c r="C18" s="29" t="n">
        <v>211694.99</v>
      </c>
      <c r="D18" s="31">
        <f>C18/$C$51</f>
        <v/>
      </c>
      <c r="E18" s="34" t="inlineStr">
        <is>
          <t> </t>
        </is>
      </c>
      <c r="G18" s="3">
        <f>IF(B18="Subtotal"," ",(VLOOKUP(B18,'June 2022'!$B$12:$E$112,4,0)))</f>
        <v/>
      </c>
    </row>
    <row r="19">
      <c r="A19" s="30" t="n">
        <v>71192</v>
      </c>
      <c r="B19" s="2" t="inlineStr">
        <is>
          <t>MMC NORILSK NICKEL PJSC COMMON STOCK RUB 1</t>
        </is>
      </c>
      <c r="C19" s="33" t="n">
        <v>136539.6</v>
      </c>
      <c r="D19" s="19">
        <f>C19/$C$51</f>
        <v/>
      </c>
      <c r="E19" s="20" t="inlineStr">
        <is>
          <t>0H5804S</t>
        </is>
      </c>
      <c r="G19" s="3">
        <f>IF(B19="Subtotal"," ",(VLOOKUP(B19,'June 2022'!$B$12:$E$112,4,0)))</f>
        <v/>
      </c>
    </row>
    <row r="20">
      <c r="A20" s="28" t="n">
        <v>262047</v>
      </c>
      <c r="B20" s="2" t="inlineStr">
        <is>
          <t>LUKOIL PJSC COMMON STOCK RUB</t>
        </is>
      </c>
      <c r="C20" s="18" t="n">
        <v>129659.89</v>
      </c>
      <c r="D20" s="19">
        <f>C20/$C$51</f>
        <v/>
      </c>
      <c r="E20" s="20" t="inlineStr">
        <is>
          <t>0H5797S</t>
        </is>
      </c>
      <c r="G20" s="3">
        <f>IF(B20="Subtotal"," ",(VLOOKUP(B20,'June 2022'!$B$12:$E$112,4,0)))</f>
        <v/>
      </c>
    </row>
    <row r="21">
      <c r="A21" s="28" t="n">
        <v>362649</v>
      </c>
      <c r="B21" s="2" t="inlineStr">
        <is>
          <t>LUKOIL PJSC ADR</t>
        </is>
      </c>
      <c r="C21" s="18" t="n">
        <v>2071.78</v>
      </c>
      <c r="D21" s="19">
        <f>C21/$C$51</f>
        <v/>
      </c>
      <c r="E21" s="20" t="inlineStr">
        <is>
          <t>0H6400S</t>
        </is>
      </c>
      <c r="G21" s="3">
        <f>IF(B21="Subtotal"," ",(VLOOKUP(B21,'June 2022'!$B$12:$E$112,4,0)))</f>
        <v/>
      </c>
    </row>
    <row r="22" customFormat="1" s="35">
      <c r="A22" s="30" t="n"/>
      <c r="B22" s="27" t="inlineStr">
        <is>
          <t>Subtotal</t>
        </is>
      </c>
      <c r="C22" s="29" t="n">
        <v>131731.67</v>
      </c>
      <c r="D22" s="31">
        <f>C22/$C$51</f>
        <v/>
      </c>
      <c r="E22" s="34" t="inlineStr">
        <is>
          <t> </t>
        </is>
      </c>
      <c r="G22" s="3">
        <f>IF(B22="Subtotal"," ",(VLOOKUP(B22,'June 2022'!$B$12:$E$112,4,0)))</f>
        <v/>
      </c>
    </row>
    <row r="23">
      <c r="A23" s="28" t="n">
        <v>2041744</v>
      </c>
      <c r="B23" s="2" t="inlineStr">
        <is>
          <t>ROSNEFT OIL CO PJSC COMMON STOCK RUB 0.01</t>
        </is>
      </c>
      <c r="C23" s="18" t="n">
        <v>60304.47</v>
      </c>
      <c r="D23" s="19">
        <f>C23/$C$51</f>
        <v/>
      </c>
      <c r="E23" s="20" t="inlineStr">
        <is>
          <t>0H5827S</t>
        </is>
      </c>
      <c r="G23" s="3">
        <f>IF(B23="Subtotal"," ",(VLOOKUP(B23,'June 2022'!$B$12:$E$112,4,0)))</f>
        <v/>
      </c>
    </row>
    <row r="24">
      <c r="A24" s="28" t="n">
        <v>1677948</v>
      </c>
      <c r="B24" s="2" t="inlineStr">
        <is>
          <t>ROSNEFT OIL CO PJSC</t>
        </is>
      </c>
      <c r="C24" s="18" t="n">
        <v>8012.29</v>
      </c>
      <c r="D24" s="19">
        <f>C24/$C$51</f>
        <v/>
      </c>
      <c r="E24" s="20" t="inlineStr">
        <is>
          <t>0H6367S</t>
        </is>
      </c>
      <c r="G24" s="3">
        <f>IF(B24="Subtotal"," ",(VLOOKUP(B24,'June 2022'!$B$12:$E$112,4,0)))</f>
        <v/>
      </c>
    </row>
    <row r="25" customFormat="1" s="35">
      <c r="A25" s="30" t="n"/>
      <c r="B25" s="27" t="inlineStr">
        <is>
          <t>Subtotal</t>
        </is>
      </c>
      <c r="C25" s="29" t="n">
        <v>68316.75999999999</v>
      </c>
      <c r="D25" s="31">
        <f>C25/$C$51</f>
        <v/>
      </c>
      <c r="E25" s="34" t="inlineStr">
        <is>
          <t> </t>
        </is>
      </c>
      <c r="G25" s="3">
        <f>IF(B25="Subtotal"," ",(VLOOKUP(B25,'June 2022'!$B$12:$E$112,4,0)))</f>
        <v/>
      </c>
    </row>
    <row r="26">
      <c r="A26" s="30" t="n">
        <v>180877</v>
      </c>
      <c r="B26" s="2" t="inlineStr">
        <is>
          <t>MAGNIT PJSC COMMON STOCK RUB 0.01</t>
        </is>
      </c>
      <c r="C26" s="18" t="n">
        <v>53770.3</v>
      </c>
      <c r="D26" s="19">
        <f>C26/$C$51</f>
        <v/>
      </c>
      <c r="E26" s="20" t="inlineStr">
        <is>
          <t>0H5813S</t>
        </is>
      </c>
      <c r="G26" s="3">
        <f>IF(B26="Subtotal"," ",(VLOOKUP(B26,'June 2022'!$B$12:$E$112,4,0)))</f>
        <v/>
      </c>
    </row>
    <row r="27">
      <c r="A27" s="28" t="n">
        <v>1265335</v>
      </c>
      <c r="B27" s="2" t="inlineStr">
        <is>
          <t>GAZPROM NEFT PJSC COMMON STOCK RUB</t>
        </is>
      </c>
      <c r="C27" s="18" t="n">
        <v>48590.5</v>
      </c>
      <c r="D27" s="19">
        <f>C27/$C$51</f>
        <v/>
      </c>
      <c r="E27" s="20" t="inlineStr">
        <is>
          <t>0H5803S</t>
        </is>
      </c>
      <c r="G27" s="3">
        <f>IF(B27="Subtotal"," ",(VLOOKUP(B27,'June 2022'!$B$12:$E$112,4,0)))</f>
        <v/>
      </c>
    </row>
    <row r="28">
      <c r="A28" s="28" t="n">
        <v>730066</v>
      </c>
      <c r="B28" s="2" t="inlineStr">
        <is>
          <t>TATNEFT PJSC COMMON STOCK RUB</t>
        </is>
      </c>
      <c r="C28" s="18" t="n">
        <v>26278.55</v>
      </c>
      <c r="D28" s="19">
        <f>C28/$C$51</f>
        <v/>
      </c>
      <c r="E28" s="20" t="inlineStr">
        <is>
          <t>0H5822S</t>
        </is>
      </c>
      <c r="G28" s="3">
        <f>IF(B28="Subtotal"," ",(VLOOKUP(B28,'June 2022'!$B$12:$E$112,4,0)))</f>
        <v/>
      </c>
    </row>
    <row r="29">
      <c r="A29" s="30" t="n">
        <v>571359</v>
      </c>
      <c r="B29" s="2" t="inlineStr">
        <is>
          <t>TATNEFT PJSC PREFERENCE RUB 1</t>
        </is>
      </c>
      <c r="C29" s="18" t="n">
        <v>18212.58</v>
      </c>
      <c r="D29" s="19">
        <f>C29/$C$51</f>
        <v/>
      </c>
      <c r="E29" s="20" t="inlineStr">
        <is>
          <t>0H5816S</t>
        </is>
      </c>
      <c r="F29" s="18" t="n"/>
      <c r="G29" s="3">
        <f>IF(B29="Subtotal"," ",(VLOOKUP(B29,'June 2022'!$B$12:$E$112,4,0)))</f>
        <v/>
      </c>
    </row>
    <row r="30" customFormat="1" s="35">
      <c r="A30" s="30" t="n"/>
      <c r="B30" s="27" t="inlineStr">
        <is>
          <t>Subtotal</t>
        </is>
      </c>
      <c r="C30" s="29" t="n">
        <v>44491.13</v>
      </c>
      <c r="D30" s="31">
        <f>C30/$C$51</f>
        <v/>
      </c>
      <c r="E30" s="34" t="inlineStr">
        <is>
          <t> </t>
        </is>
      </c>
      <c r="G30" s="3">
        <f>IF(B30="Subtotal"," ",(VLOOKUP(B30,'June 2022'!$B$12:$E$112,4,0)))</f>
        <v/>
      </c>
    </row>
    <row r="31">
      <c r="A31" s="28" t="n">
        <v>6156103</v>
      </c>
      <c r="B31" s="2" t="inlineStr">
        <is>
          <t>ROSTELECOM PJSC COMMON STOCK RUB</t>
        </is>
      </c>
      <c r="C31" s="18" t="n">
        <v>41914.25</v>
      </c>
      <c r="D31" s="19">
        <f>C31/$C$51</f>
        <v/>
      </c>
      <c r="E31" s="20" t="inlineStr">
        <is>
          <t>0H5802S</t>
        </is>
      </c>
      <c r="G31" s="3">
        <f>IF(B31="Subtotal"," ",(VLOOKUP(B31,'June 2022'!$B$12:$E$112,4,0)))</f>
        <v/>
      </c>
    </row>
    <row r="32">
      <c r="A32" s="28" t="n">
        <v>21233273216</v>
      </c>
      <c r="B32" s="2" t="inlineStr">
        <is>
          <t>VTB BANK PJSC COMMON STOCK RUB 0.01</t>
        </is>
      </c>
      <c r="C32" s="18" t="n">
        <v>40097.75</v>
      </c>
      <c r="D32" s="19">
        <f>C32/$C$51</f>
        <v/>
      </c>
      <c r="E32" s="20" t="inlineStr">
        <is>
          <t>0H5837S</t>
        </is>
      </c>
      <c r="G32" s="3">
        <f>IF(B32="Subtotal"," ",(VLOOKUP(B32,'June 2022'!$B$12:$E$112,4,0)))</f>
        <v/>
      </c>
    </row>
    <row r="33">
      <c r="A33" s="28" t="n">
        <v>4003270</v>
      </c>
      <c r="B33" s="2" t="inlineStr">
        <is>
          <t>DETSKY MIR PJSC COMMON STOCK RUB 0.0004</t>
        </is>
      </c>
      <c r="C33" s="18" t="n">
        <v>32901.27</v>
      </c>
      <c r="D33" s="19">
        <f>C33/$C$51</f>
        <v/>
      </c>
      <c r="E33" s="20" t="inlineStr">
        <is>
          <t>0H5850S</t>
        </is>
      </c>
      <c r="G33" s="3">
        <f>IF(B33="Subtotal"," ",(VLOOKUP(B33,'June 2022'!$B$12:$E$112,4,0)))</f>
        <v/>
      </c>
      <c r="L33" s="24" t="n"/>
      <c r="N33" s="25" t="n"/>
    </row>
    <row r="34">
      <c r="A34" s="30" t="n">
        <v>169819</v>
      </c>
      <c r="B34" s="2" t="inlineStr">
        <is>
          <t>YANDEX NV COMMON STOCK USD 0.01</t>
        </is>
      </c>
      <c r="C34" s="18" t="n">
        <v>25520.69</v>
      </c>
      <c r="D34" s="19">
        <f>C34/$C$51</f>
        <v/>
      </c>
      <c r="E34" s="20" t="inlineStr">
        <is>
          <t>0H6379S</t>
        </is>
      </c>
      <c r="G34" s="3">
        <f>IF(B34="Subtotal"," ",(VLOOKUP(B34,'June 2022'!$B$12:$E$112,4,0)))</f>
        <v/>
      </c>
    </row>
    <row r="35">
      <c r="A35" s="28" t="n">
        <v>432517</v>
      </c>
      <c r="B35" s="2" t="inlineStr">
        <is>
          <t>MD MEDICAL GROUP INVESTMENTS PLC GDR USD</t>
        </is>
      </c>
      <c r="C35" s="18" t="n">
        <v>19561.59</v>
      </c>
      <c r="D35" s="19">
        <f>C35/$C$51</f>
        <v/>
      </c>
      <c r="E35" s="20" t="inlineStr">
        <is>
          <t>0H6371S</t>
        </is>
      </c>
      <c r="G35" s="3">
        <f>IF(B35="Subtotal"," ",(VLOOKUP(B35,'June 2022'!$B$12:$E$112,4,0)))</f>
        <v/>
      </c>
    </row>
    <row r="36">
      <c r="A36" s="28" t="n">
        <v>12313057</v>
      </c>
      <c r="B36" s="2" t="inlineStr">
        <is>
          <t>SISTEMA PJSFC COMMON STOCK RUB 0.09</t>
        </is>
      </c>
      <c r="C36" s="18" t="n">
        <v>14702.88</v>
      </c>
      <c r="D36" s="19">
        <f>C36/$C$51</f>
        <v/>
      </c>
      <c r="E36" s="20" t="inlineStr">
        <is>
          <t>0H5808S</t>
        </is>
      </c>
      <c r="G36" s="3">
        <f>IF(B36="Subtotal"," ",(VLOOKUP(B36,'June 2022'!$B$12:$E$112,4,0)))</f>
        <v/>
      </c>
    </row>
    <row r="37">
      <c r="A37" s="28" t="n">
        <v>103572</v>
      </c>
      <c r="B37" s="2" t="inlineStr">
        <is>
          <t>NOVATEK PJSC COMMON STOCK RUB 0.1</t>
        </is>
      </c>
      <c r="C37" s="18" t="n">
        <v>12619.09</v>
      </c>
      <c r="D37" s="19">
        <f>C37/$C$51</f>
        <v/>
      </c>
      <c r="E37" s="20" t="inlineStr">
        <is>
          <t>2H6464S</t>
        </is>
      </c>
      <c r="G37" s="3">
        <f>IF(B37="Subtotal"," ",(VLOOKUP(B37,'June 2022'!$B$12:$E$112,4,0)))</f>
        <v/>
      </c>
    </row>
    <row r="38">
      <c r="A38" s="28" t="n">
        <v>126849</v>
      </c>
      <c r="B38" s="2" t="inlineStr">
        <is>
          <t>NOVATEK PJSC GDR USD</t>
        </is>
      </c>
      <c r="C38" s="18" t="n">
        <v>654.42</v>
      </c>
      <c r="D38" s="19">
        <f>C38/$C$51</f>
        <v/>
      </c>
      <c r="E38" s="20" t="inlineStr">
        <is>
          <t>0H6366S</t>
        </is>
      </c>
      <c r="G38" s="3">
        <f>IF(B38="Subtotal"," ",(VLOOKUP(B38,'June 2022'!$B$12:$E$112,4,0)))</f>
        <v/>
      </c>
    </row>
    <row r="39" customFormat="1" s="35">
      <c r="A39" s="30" t="n"/>
      <c r="B39" s="27" t="inlineStr">
        <is>
          <t>Subtotal</t>
        </is>
      </c>
      <c r="C39" s="29" t="n">
        <v>13273.51</v>
      </c>
      <c r="D39" s="31">
        <f>C39/$C$51</f>
        <v/>
      </c>
      <c r="E39" s="34" t="inlineStr">
        <is>
          <t> </t>
        </is>
      </c>
      <c r="G39" s="3">
        <f>IF(B39="Subtotal"," ",(VLOOKUP(B39,'June 2022'!$B$12:$E$112,4,0)))</f>
        <v/>
      </c>
    </row>
    <row r="40">
      <c r="A40" s="28" t="n">
        <v>577525</v>
      </c>
      <c r="B40" s="2" t="inlineStr">
        <is>
          <t>FIX PRICE GROUP LTD GDR</t>
        </is>
      </c>
      <c r="C40" s="18" t="n">
        <v>4307.5</v>
      </c>
      <c r="D40" s="19">
        <f>C40/$C$51</f>
        <v/>
      </c>
      <c r="E40" s="20" t="inlineStr">
        <is>
          <t>0H6372S</t>
        </is>
      </c>
      <c r="G40" s="3">
        <f>IF(B40="Subtotal"," ",(VLOOKUP(B40,'June 2022'!$B$12:$E$112,4,0)))</f>
        <v/>
      </c>
    </row>
    <row r="41">
      <c r="A41" s="28" t="n">
        <v>75226</v>
      </c>
      <c r="B41" s="2" t="inlineStr">
        <is>
          <t>TCS GROUP HOLDING PLC GDR</t>
        </is>
      </c>
      <c r="C41" s="18" t="n">
        <v>1905.87</v>
      </c>
      <c r="D41" s="19">
        <f>C41/$C$51</f>
        <v/>
      </c>
      <c r="E41" s="20" t="inlineStr">
        <is>
          <t>0H6380S</t>
        </is>
      </c>
      <c r="G41" s="3">
        <f>IF(B41="Subtotal"," ",(VLOOKUP(B41,'June 2022'!$B$12:$E$112,4,0)))</f>
        <v/>
      </c>
    </row>
    <row r="42">
      <c r="A42" s="28" t="n">
        <v>59546</v>
      </c>
      <c r="B42" s="2" t="inlineStr">
        <is>
          <t>POLYUS PJSC GDR</t>
        </is>
      </c>
      <c r="C42" s="18" t="n">
        <v>1842.65</v>
      </c>
      <c r="D42" s="19">
        <f>C42/$C$51</f>
        <v/>
      </c>
      <c r="E42" s="20" t="inlineStr">
        <is>
          <t>0H6381S</t>
        </is>
      </c>
      <c r="G42" s="3">
        <f>IF(B42="Subtotal"," ",(VLOOKUP(B42,'June 2022'!$B$12:$E$112,4,0)))</f>
        <v/>
      </c>
    </row>
    <row r="43">
      <c r="A43" s="30" t="n">
        <v>275182</v>
      </c>
      <c r="B43" s="2" t="inlineStr">
        <is>
          <t>X 5 RETAIL GROUP NV-REGS GDR</t>
        </is>
      </c>
      <c r="C43" s="29" t="n">
        <v>1160.3</v>
      </c>
      <c r="D43" s="19">
        <f>C43/$C$51</f>
        <v/>
      </c>
      <c r="E43" s="20" t="inlineStr">
        <is>
          <t>0H6365S</t>
        </is>
      </c>
      <c r="G43" s="3">
        <f>IF(B43="Subtotal"," ",(VLOOKUP(B43,'June 2022'!$B$12:$E$112,4,0)))</f>
        <v/>
      </c>
    </row>
    <row r="44">
      <c r="A44" s="28" t="n">
        <v>365735</v>
      </c>
      <c r="B44" s="2" t="inlineStr">
        <is>
          <t>NOVOLIPETSK STEEL PJSC GDR</t>
        </is>
      </c>
      <c r="C44" s="18" t="n">
        <v>917.6</v>
      </c>
      <c r="D44" s="19">
        <f>C44/$C$51</f>
        <v/>
      </c>
      <c r="E44" s="20" t="inlineStr">
        <is>
          <t>0H6378S</t>
        </is>
      </c>
      <c r="G44" s="3">
        <f>IF(B44="Subtotal"," ",(VLOOKUP(B44,'June 2022'!$B$12:$E$112,4,0)))</f>
        <v/>
      </c>
    </row>
    <row r="45">
      <c r="A45" s="28" t="n">
        <v>552780</v>
      </c>
      <c r="B45" s="2" t="inlineStr">
        <is>
          <t>SEVERSTAL PAO GDR USD</t>
        </is>
      </c>
      <c r="C45" s="18" t="n">
        <v>263.6</v>
      </c>
      <c r="D45" s="19">
        <f>C45/$C$51</f>
        <v/>
      </c>
      <c r="E45" s="20" t="inlineStr">
        <is>
          <t>0H6368S</t>
        </is>
      </c>
      <c r="G45" s="3">
        <f>IF(B45="Subtotal"," ",(VLOOKUP(B45,'June 2022'!$B$12:$E$112,4,0)))</f>
        <v/>
      </c>
    </row>
    <row r="46">
      <c r="A46" s="28" t="n"/>
      <c r="C46" s="18" t="n"/>
      <c r="D46" s="19" t="n"/>
      <c r="E46" s="20" t="n"/>
    </row>
    <row r="47">
      <c r="C47" s="18" t="n"/>
      <c r="D47" s="19" t="n"/>
      <c r="E47" s="20" t="n"/>
    </row>
    <row r="48">
      <c r="A48" s="21" t="n"/>
      <c r="B48" s="21" t="inlineStr">
        <is>
          <t>Total portfolio</t>
        </is>
      </c>
      <c r="C48" s="39" t="n">
        <v>2753441.19</v>
      </c>
      <c r="D48" s="19">
        <f>C48/$C$51</f>
        <v/>
      </c>
    </row>
    <row r="49">
      <c r="B49" s="21" t="inlineStr">
        <is>
          <t>Net Current Assets</t>
        </is>
      </c>
      <c r="C49" s="39" t="n">
        <v>14591513.08</v>
      </c>
      <c r="D49" s="19">
        <f>C49/$C$51</f>
        <v/>
      </c>
    </row>
    <row r="50">
      <c r="B50" s="3" t="n"/>
      <c r="C50" s="39" t="n"/>
      <c r="D50" s="32" t="n"/>
    </row>
    <row r="51">
      <c r="B51" s="21" t="inlineStr">
        <is>
          <t>Total Assets</t>
        </is>
      </c>
      <c r="C51" s="22">
        <f>C48+C49</f>
        <v/>
      </c>
      <c r="D51" s="19">
        <f>C51/$C$51</f>
        <v/>
      </c>
    </row>
    <row r="52">
      <c r="A52"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3"/>
    <row r="54"/>
    <row r="55"/>
  </sheetData>
  <mergeCells count="2">
    <mergeCell ref="A52:E55"/>
    <mergeCell ref="A3:E6"/>
  </mergeCells>
  <pageMargins left="0.7" right="0.7" top="0.75" bottom="0.75" header="0.3" footer="0.3"/>
  <pageSetup orientation="portrait"/>
</worksheet>
</file>

<file path=xl/worksheets/sheet43.xml><?xml version="1.0" encoding="utf-8"?>
<worksheet xmlns="http://schemas.openxmlformats.org/spreadsheetml/2006/main">
  <sheetPr codeName="Sheet2">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30th April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842766</v>
      </c>
      <c r="B12" s="2" t="inlineStr">
        <is>
          <t>HALYK SAVINGS BANK OF KAZAKHSTAN JSC GDR USD</t>
        </is>
      </c>
      <c r="C12" s="18" t="n">
        <v>6645466.83</v>
      </c>
      <c r="D12" s="19">
        <f>C12/$C$54</f>
        <v/>
      </c>
      <c r="E12" s="20" t="inlineStr">
        <is>
          <t>B1KDG41</t>
        </is>
      </c>
    </row>
    <row r="13">
      <c r="A13" s="28" t="n">
        <v>97567</v>
      </c>
      <c r="B13" s="2" t="inlineStr">
        <is>
          <t>JSC KASPI.KZ GDR-REG S</t>
        </is>
      </c>
      <c r="C13" s="18" t="n">
        <v>5035716.25</v>
      </c>
      <c r="D13" s="19">
        <f>C13/$C$54</f>
        <v/>
      </c>
      <c r="E13" s="20" t="inlineStr">
        <is>
          <t>BMXZ8G7</t>
        </is>
      </c>
    </row>
    <row r="14">
      <c r="A14" s="28" t="n">
        <v>2097857.99</v>
      </c>
      <c r="B14" s="2" t="inlineStr">
        <is>
          <t>JPM USD LIQUIDITY LVNAV X (DIST.)</t>
        </is>
      </c>
      <c r="C14" s="18" t="n">
        <v>1670934.32</v>
      </c>
      <c r="D14" s="19">
        <f>C14/$C$54</f>
        <v/>
      </c>
      <c r="E14" s="20" t="inlineStr">
        <is>
          <t>7253766</t>
        </is>
      </c>
    </row>
    <row r="15">
      <c r="A15" s="28" t="n">
        <v>4198000</v>
      </c>
      <c r="B15" s="2" t="inlineStr">
        <is>
          <t>UNITED CO RUSAL INTERNATIONAL PJSC COMMON STOCK HKD 0.656517</t>
        </is>
      </c>
      <c r="C15" s="18" t="n">
        <v>1576779.07</v>
      </c>
      <c r="D15" s="19">
        <f>C15/$C$54</f>
        <v/>
      </c>
      <c r="E15" s="20" t="inlineStr">
        <is>
          <t>BNGCVV8</t>
        </is>
      </c>
    </row>
    <row r="16">
      <c r="A16" s="28" t="n">
        <v>65502</v>
      </c>
      <c r="B16" s="2" t="inlineStr">
        <is>
          <t>NAC KAZATOMPROM JSC</t>
        </is>
      </c>
      <c r="C16" s="18" t="n">
        <v>1514032.73</v>
      </c>
      <c r="D16" s="19">
        <f>C16/$C$54</f>
        <v/>
      </c>
      <c r="E16" s="20" t="inlineStr">
        <is>
          <t>BGXQL36</t>
        </is>
      </c>
    </row>
    <row r="17">
      <c r="A17" s="28" t="n">
        <v>5365084</v>
      </c>
      <c r="B17" s="2" t="inlineStr">
        <is>
          <t>GAZPROM PJSC ADR</t>
        </is>
      </c>
      <c r="C17" s="18" t="n">
        <v>24844.76</v>
      </c>
      <c r="D17" s="19">
        <f>C17/$C$54</f>
        <v/>
      </c>
      <c r="E17" s="20" t="inlineStr">
        <is>
          <t>0H6364S</t>
        </is>
      </c>
    </row>
    <row r="18">
      <c r="A18" s="28" t="n">
        <v>8860909</v>
      </c>
      <c r="B18" s="2" t="inlineStr">
        <is>
          <t>GAZPROM PJSC COMMON STOCK RUB</t>
        </is>
      </c>
      <c r="C18" s="18" t="n">
        <v>203252.53</v>
      </c>
      <c r="D18" s="19">
        <f>C18/$C$54</f>
        <v/>
      </c>
      <c r="E18" s="20" t="inlineStr">
        <is>
          <t>0H5796S</t>
        </is>
      </c>
    </row>
    <row r="19" customFormat="1" s="35">
      <c r="A19" s="30" t="n"/>
      <c r="B19" s="27" t="inlineStr">
        <is>
          <t>Subtotal</t>
        </is>
      </c>
      <c r="C19" s="29" t="n">
        <v>228097.29</v>
      </c>
      <c r="D19" s="31">
        <f>C19/$C$54</f>
        <v/>
      </c>
      <c r="E19" s="34" t="inlineStr">
        <is>
          <t> </t>
        </is>
      </c>
      <c r="G19" s="3" t="n"/>
    </row>
    <row r="20">
      <c r="A20" s="28" t="n">
        <v>2355925</v>
      </c>
      <c r="B20" s="2" t="inlineStr">
        <is>
          <t>SBERBANK OF RUSSIA PJSC</t>
        </is>
      </c>
      <c r="C20" s="18" t="n">
        <v>29595.56</v>
      </c>
      <c r="D20" s="19">
        <f>C20/$C$54</f>
        <v/>
      </c>
      <c r="E20" s="20" t="inlineStr">
        <is>
          <t>0H5855S</t>
        </is>
      </c>
    </row>
    <row r="21">
      <c r="A21" s="28" t="n">
        <v>14455036</v>
      </c>
      <c r="B21" s="2" t="inlineStr">
        <is>
          <t>SBERBANK OF RUSSIA PJSC PREFERENCE RUB 3</t>
        </is>
      </c>
      <c r="C21" s="18" t="n">
        <v>182908.77</v>
      </c>
      <c r="D21" s="19">
        <f>C21/$C$54</f>
        <v/>
      </c>
      <c r="E21" s="20" t="inlineStr">
        <is>
          <t>0H5856S</t>
        </is>
      </c>
    </row>
    <row r="22" customFormat="1" s="35">
      <c r="A22" s="30" t="n"/>
      <c r="B22" s="27" t="inlineStr">
        <is>
          <t>Subtotal</t>
        </is>
      </c>
      <c r="C22" s="29" t="n">
        <v>212504.33</v>
      </c>
      <c r="D22" s="31">
        <f>C22/$C$54</f>
        <v/>
      </c>
      <c r="E22" s="34" t="inlineStr">
        <is>
          <t> </t>
        </is>
      </c>
      <c r="G22" s="3" t="n"/>
    </row>
    <row r="23">
      <c r="A23" s="28" t="n">
        <v>71192</v>
      </c>
      <c r="B23" s="2" t="inlineStr">
        <is>
          <t>MMC NORILSK NICKEL PJSC COMMON STOCK RUB 1</t>
        </is>
      </c>
      <c r="C23" s="18" t="n">
        <v>137061.61</v>
      </c>
      <c r="D23" s="19">
        <f>C23/$C$54</f>
        <v/>
      </c>
      <c r="E23" s="20" t="inlineStr">
        <is>
          <t>0H5804S</t>
        </is>
      </c>
    </row>
    <row r="24">
      <c r="A24" s="28" t="n">
        <v>262047</v>
      </c>
      <c r="B24" s="2" t="inlineStr">
        <is>
          <t>LUKOIL PJSC COMMON STOCK RUB</t>
        </is>
      </c>
      <c r="C24" s="18" t="n">
        <v>130155.61</v>
      </c>
      <c r="D24" s="19">
        <f>C24/$C$54</f>
        <v/>
      </c>
      <c r="E24" s="20" t="inlineStr">
        <is>
          <t>0H5797S</t>
        </is>
      </c>
    </row>
    <row r="25">
      <c r="A25" s="28" t="n">
        <v>362649</v>
      </c>
      <c r="B25" s="2" t="inlineStr">
        <is>
          <t>LUKOIL PJSC ADR</t>
        </is>
      </c>
      <c r="C25" s="18" t="n">
        <v>2079.71</v>
      </c>
      <c r="D25" s="19">
        <f>C25/$C$54</f>
        <v/>
      </c>
      <c r="E25" s="20" t="inlineStr">
        <is>
          <t>0H6400S</t>
        </is>
      </c>
    </row>
    <row r="26" customFormat="1" s="35">
      <c r="A26" s="30" t="n"/>
      <c r="B26" s="27" t="inlineStr">
        <is>
          <t>Subtotal</t>
        </is>
      </c>
      <c r="C26" s="29" t="n">
        <v>132235.32</v>
      </c>
      <c r="D26" s="31">
        <f>C26/$C$54</f>
        <v/>
      </c>
      <c r="E26" s="34" t="inlineStr">
        <is>
          <t> </t>
        </is>
      </c>
      <c r="G26" s="3" t="n"/>
    </row>
    <row r="27">
      <c r="A27" s="28" t="n">
        <v>1677948</v>
      </c>
      <c r="B27" s="2" t="inlineStr">
        <is>
          <t>ROSNEFT OIL CO PJSC</t>
        </is>
      </c>
      <c r="C27" s="18" t="n">
        <v>8042.92</v>
      </c>
      <c r="D27" s="19">
        <f>C27/$C$54</f>
        <v/>
      </c>
      <c r="E27" s="20" t="inlineStr">
        <is>
          <t>0H6367S</t>
        </is>
      </c>
    </row>
    <row r="28">
      <c r="A28" s="28" t="n">
        <v>2041744</v>
      </c>
      <c r="B28" s="2" t="inlineStr">
        <is>
          <t>ROSNEFT OIL CO PJSC COMMON STOCK RUB 0.01</t>
        </is>
      </c>
      <c r="C28" s="18" t="n">
        <v>60535.02</v>
      </c>
      <c r="D28" s="19">
        <f>C28/$C$54</f>
        <v/>
      </c>
      <c r="E28" s="20" t="inlineStr">
        <is>
          <t>0H5827S</t>
        </is>
      </c>
    </row>
    <row r="29">
      <c r="A29" s="30" t="n"/>
      <c r="B29" s="27" t="inlineStr">
        <is>
          <t>Subtotal</t>
        </is>
      </c>
      <c r="C29" s="29" t="n">
        <v>68577.94</v>
      </c>
      <c r="D29" s="19">
        <f>C29/$C$54</f>
        <v/>
      </c>
      <c r="E29" s="20" t="inlineStr">
        <is>
          <t> </t>
        </is>
      </c>
    </row>
    <row r="30">
      <c r="A30" s="28" t="n">
        <v>180877</v>
      </c>
      <c r="B30" s="2" t="inlineStr">
        <is>
          <t>MAGNIT PJSC COMMON STOCK RUB 0.01</t>
        </is>
      </c>
      <c r="C30" s="18" t="n">
        <v>53975.88</v>
      </c>
      <c r="D30" s="19">
        <f>C30/$C$54</f>
        <v/>
      </c>
      <c r="E30" s="20" t="inlineStr">
        <is>
          <t>0H5813S</t>
        </is>
      </c>
    </row>
    <row r="31">
      <c r="A31" s="28" t="n">
        <v>1265335</v>
      </c>
      <c r="B31" s="2" t="inlineStr">
        <is>
          <t>GAZPROM NEFT PJSC COMMON STOCK RUB</t>
        </is>
      </c>
      <c r="C31" s="18" t="n">
        <v>48776.27</v>
      </c>
      <c r="D31" s="19">
        <f>C31/$C$54</f>
        <v/>
      </c>
      <c r="E31" s="20" t="inlineStr">
        <is>
          <t>0H5803S</t>
        </is>
      </c>
    </row>
    <row r="32">
      <c r="A32" s="28" t="n">
        <v>571359</v>
      </c>
      <c r="B32" s="2" t="inlineStr">
        <is>
          <t>TATNEFT PJSC PREFERENCE RUB 1</t>
        </is>
      </c>
      <c r="C32" s="18" t="n">
        <v>18282.21</v>
      </c>
      <c r="D32" s="19">
        <f>C32/$C$54</f>
        <v/>
      </c>
      <c r="E32" s="20" t="inlineStr">
        <is>
          <t>0H5816S</t>
        </is>
      </c>
    </row>
    <row r="33">
      <c r="A33" s="28" t="n">
        <v>730066</v>
      </c>
      <c r="B33" s="2" t="inlineStr">
        <is>
          <t>TATNEFT PJSC COMMON STOCK RUB</t>
        </is>
      </c>
      <c r="C33" s="18" t="n">
        <v>26379.02</v>
      </c>
      <c r="D33" s="19">
        <f>C33/$C$54</f>
        <v/>
      </c>
      <c r="E33" s="20" t="inlineStr">
        <is>
          <t>0H5822S</t>
        </is>
      </c>
      <c r="L33" s="24" t="n"/>
      <c r="N33" s="25" t="n"/>
    </row>
    <row r="34" customFormat="1" s="35">
      <c r="A34" s="30" t="n"/>
      <c r="B34" s="27" t="inlineStr">
        <is>
          <t>Subtotal</t>
        </is>
      </c>
      <c r="C34" s="29" t="n">
        <v>44661.23</v>
      </c>
      <c r="D34" s="31">
        <f>C34/$C$54</f>
        <v/>
      </c>
      <c r="E34" s="34" t="inlineStr">
        <is>
          <t> </t>
        </is>
      </c>
      <c r="G34" s="3" t="n"/>
    </row>
    <row r="35">
      <c r="A35" s="28" t="n">
        <v>6156103</v>
      </c>
      <c r="B35" s="2" t="inlineStr">
        <is>
          <t>ROSTELECOM PJSC COMMON STOCK RUB</t>
        </is>
      </c>
      <c r="C35" s="18" t="n">
        <v>42074.5</v>
      </c>
      <c r="D35" s="19">
        <f>C35/$C$54</f>
        <v/>
      </c>
      <c r="E35" s="20" t="inlineStr">
        <is>
          <t>0H5802S</t>
        </is>
      </c>
    </row>
    <row r="36">
      <c r="A36" s="28" t="n">
        <v>21233273216</v>
      </c>
      <c r="B36" s="2" t="inlineStr">
        <is>
          <t>VTB BANK PJSC COMMON STOCK RUB 0.01</t>
        </is>
      </c>
      <c r="C36" s="18" t="n">
        <v>40251.05</v>
      </c>
      <c r="D36" s="19">
        <f>C36/$C$54</f>
        <v/>
      </c>
      <c r="E36" s="20" t="inlineStr">
        <is>
          <t>0H5837S</t>
        </is>
      </c>
    </row>
    <row r="37">
      <c r="A37" s="28" t="n">
        <v>4003270</v>
      </c>
      <c r="B37" s="2" t="inlineStr">
        <is>
          <t>DETSKY MIR PJSC COMMON STOCK RUB 0.0004</t>
        </is>
      </c>
      <c r="C37" s="18" t="n">
        <v>33027.06</v>
      </c>
      <c r="D37" s="19">
        <f>C37/$C$54</f>
        <v/>
      </c>
      <c r="E37" s="20" t="inlineStr">
        <is>
          <t>0H5850S</t>
        </is>
      </c>
    </row>
    <row r="38">
      <c r="A38" s="28" t="n">
        <v>169819</v>
      </c>
      <c r="B38" s="2" t="inlineStr">
        <is>
          <t>YANDEX NV COMMON STOCK USD 0.01</t>
        </is>
      </c>
      <c r="C38" s="18" t="n">
        <v>25618.26</v>
      </c>
      <c r="D38" s="19">
        <f>C38/$C$54</f>
        <v/>
      </c>
      <c r="E38" s="20" t="inlineStr">
        <is>
          <t>0H6379S</t>
        </is>
      </c>
    </row>
    <row r="39">
      <c r="A39" s="28" t="n">
        <v>432517</v>
      </c>
      <c r="B39" s="2" t="inlineStr">
        <is>
          <t>MD MEDICAL GROUP INVESTMENTS PLC GDR USD</t>
        </is>
      </c>
      <c r="C39" s="18" t="n">
        <v>19636.38</v>
      </c>
      <c r="D39" s="19">
        <f>C39/$C$54</f>
        <v/>
      </c>
      <c r="E39" s="20" t="inlineStr">
        <is>
          <t>0H6371S</t>
        </is>
      </c>
    </row>
    <row r="40">
      <c r="A40" s="28" t="n">
        <v>12313057</v>
      </c>
      <c r="B40" s="2" t="inlineStr">
        <is>
          <t>SISTEMA PJSFC COMMON STOCK RUB 0.09</t>
        </is>
      </c>
      <c r="C40" s="18" t="n">
        <v>14759.09</v>
      </c>
      <c r="D40" s="19">
        <f>C40/$C$54</f>
        <v/>
      </c>
      <c r="E40" s="20" t="inlineStr">
        <is>
          <t>0H5808S</t>
        </is>
      </c>
    </row>
    <row r="41">
      <c r="A41" s="28" t="n">
        <v>103572</v>
      </c>
      <c r="B41" s="2" t="inlineStr">
        <is>
          <t>NOVATEK PJSC COMMON STOCK RUB 0.1</t>
        </is>
      </c>
      <c r="C41" s="18" t="n">
        <v>12667.34</v>
      </c>
      <c r="D41" s="19">
        <f>C41/$C$54</f>
        <v/>
      </c>
      <c r="E41" s="20" t="inlineStr">
        <is>
          <t>2H6464S</t>
        </is>
      </c>
    </row>
    <row r="42">
      <c r="A42" s="28" t="n">
        <v>126849</v>
      </c>
      <c r="B42" s="2" t="inlineStr">
        <is>
          <t>NOVATEK PJSC GDR USD</t>
        </is>
      </c>
      <c r="C42" s="18" t="n">
        <v>656.9299999999999</v>
      </c>
      <c r="D42" s="19">
        <f>C42/$C$54</f>
        <v/>
      </c>
      <c r="E42" s="20" t="inlineStr">
        <is>
          <t>0H6366S</t>
        </is>
      </c>
    </row>
    <row r="43" customFormat="1" s="35">
      <c r="A43" s="30" t="n"/>
      <c r="B43" s="27" t="inlineStr">
        <is>
          <t>Subtotal</t>
        </is>
      </c>
      <c r="C43" s="29" t="n">
        <v>13324.27</v>
      </c>
      <c r="D43" s="31">
        <f>C43/$C$54</f>
        <v/>
      </c>
      <c r="E43" s="34" t="inlineStr">
        <is>
          <t> </t>
        </is>
      </c>
      <c r="G43" s="3" t="n"/>
    </row>
    <row r="44">
      <c r="A44" s="28" t="n">
        <v>577525</v>
      </c>
      <c r="B44" s="2" t="inlineStr">
        <is>
          <t>FIX PRICE GROUP LTD GDR</t>
        </is>
      </c>
      <c r="C44" s="18" t="n">
        <v>4323.97</v>
      </c>
      <c r="D44" s="19">
        <f>C44/$C$54</f>
        <v/>
      </c>
      <c r="E44" s="20" t="inlineStr">
        <is>
          <t>0H6372S</t>
        </is>
      </c>
    </row>
    <row r="45">
      <c r="A45" s="28" t="n">
        <v>75226</v>
      </c>
      <c r="B45" s="2" t="inlineStr">
        <is>
          <t>TCS GROUP HOLDING PLC GDR</t>
        </is>
      </c>
      <c r="C45" s="18" t="n">
        <v>1913.16</v>
      </c>
      <c r="D45" s="19">
        <f>C45/$C$54</f>
        <v/>
      </c>
      <c r="E45" s="20" t="inlineStr">
        <is>
          <t>0H6380S</t>
        </is>
      </c>
    </row>
    <row r="46">
      <c r="A46" s="28" t="n">
        <v>59546</v>
      </c>
      <c r="B46" s="2" t="inlineStr">
        <is>
          <t>POLYUS PJSC GDR</t>
        </is>
      </c>
      <c r="C46" s="18" t="n">
        <v>1849.69</v>
      </c>
      <c r="D46" s="19">
        <f>C46/$C$54</f>
        <v/>
      </c>
      <c r="E46" s="20" t="inlineStr">
        <is>
          <t>0H6381S</t>
        </is>
      </c>
    </row>
    <row r="47">
      <c r="A47" s="28" t="n">
        <v>275182</v>
      </c>
      <c r="B47" s="2" t="inlineStr">
        <is>
          <t>X 5 RETAIL GROUP NV-REGS GDR</t>
        </is>
      </c>
      <c r="C47" s="18" t="n">
        <v>1164.73</v>
      </c>
      <c r="D47" s="19">
        <f>C47/$C$54</f>
        <v/>
      </c>
      <c r="E47" s="20" t="inlineStr">
        <is>
          <t>0H6365S</t>
        </is>
      </c>
    </row>
    <row r="48">
      <c r="A48" s="28" t="n">
        <v>365735</v>
      </c>
      <c r="B48" s="2" t="inlineStr">
        <is>
          <t>NOVOLIPETSK STEEL PJSC GDR</t>
        </is>
      </c>
      <c r="C48" s="18" t="n">
        <v>921.11</v>
      </c>
      <c r="D48" s="19">
        <f>C48/$C$54</f>
        <v/>
      </c>
      <c r="E48" s="20" t="inlineStr">
        <is>
          <t>0H6378S</t>
        </is>
      </c>
    </row>
    <row r="49">
      <c r="A49" s="28" t="n">
        <v>552780</v>
      </c>
      <c r="B49" s="2" t="inlineStr">
        <is>
          <t>SEVERSTAL PAO GDR USD</t>
        </is>
      </c>
      <c r="C49" s="18" t="n">
        <v>264.61</v>
      </c>
      <c r="D49" s="19">
        <f>C49/$C$54</f>
        <v/>
      </c>
      <c r="E49" s="20" t="inlineStr">
        <is>
          <t>0H6368S</t>
        </is>
      </c>
    </row>
    <row r="50">
      <c r="C50" s="18" t="n"/>
      <c r="D50" s="19" t="n"/>
      <c r="E50" s="20" t="n"/>
    </row>
    <row r="51">
      <c r="A51" s="21" t="n"/>
      <c r="B51" s="21" t="inlineStr">
        <is>
          <t>Total portfolio</t>
        </is>
      </c>
      <c r="C51" s="39" t="n">
        <v>17567946.95</v>
      </c>
      <c r="D51" s="19">
        <f>C51/$C$54</f>
        <v/>
      </c>
    </row>
    <row r="52">
      <c r="B52" s="21" t="inlineStr">
        <is>
          <t>Net Current Assets</t>
        </is>
      </c>
      <c r="C52" s="39" t="n">
        <v>1455926.3</v>
      </c>
      <c r="D52" s="19">
        <f>C52/$C$54</f>
        <v/>
      </c>
    </row>
    <row r="53">
      <c r="B53" s="3" t="n"/>
      <c r="C53" s="39" t="n"/>
      <c r="D53" s="32" t="n"/>
    </row>
    <row r="54">
      <c r="B54" s="21"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xl/worksheets/sheet44.xml><?xml version="1.0" encoding="utf-8"?>
<worksheet xmlns="http://schemas.openxmlformats.org/spreadsheetml/2006/main">
  <sheetPr>
    <outlinePr summaryBelow="1" summaryRight="1"/>
    <pageSetUpPr/>
  </sheetPr>
  <dimension ref="A1:N59"/>
  <sheetViews>
    <sheetView workbookViewId="0">
      <selection activeCell="E36" sqref="E36"/>
    </sheetView>
  </sheetViews>
  <sheetFormatPr baseColWidth="8" defaultColWidth="9.140625" defaultRowHeight="11.25"/>
  <cols>
    <col width="15.140625" bestFit="1" customWidth="1" style="17" min="1" max="1"/>
    <col width="56.5703125" customWidth="1" style="2" min="2" max="2"/>
    <col width="17.140625" customWidth="1" style="3" min="3" max="3"/>
    <col width="9.140625" customWidth="1" style="3" min="4" max="4"/>
    <col width="10.28515625" customWidth="1" style="3" min="5" max="5"/>
    <col width="9.140625" customWidth="1" style="3" min="6" max="6"/>
    <col hidden="1" style="3" min="7" max="7"/>
    <col width="9.140625" customWidth="1" style="3" min="8" max="11"/>
    <col width="10.85546875" bestFit="1" customWidth="1" style="3" min="12" max="12"/>
    <col width="9.140625" customWidth="1" style="3" min="13" max="16384"/>
  </cols>
  <sheetData>
    <row r="1" ht="38.25" customHeight="1" s="42">
      <c r="A1" s="1" t="inlineStr">
        <is>
          <t>JPMorgan Russian Securities plc</t>
        </is>
      </c>
    </row>
    <row r="2" ht="12.75" customHeight="1" s="42">
      <c r="A2" s="4" t="n"/>
    </row>
    <row r="3">
      <c r="A3" s="60" t="inlineStr">
        <is>
          <t xml:space="preserve">The data is presented by J.P. Morgan Asset management as at the date supplied. The data can be manipulated on an individual client basis, and as such, J.P. Morgan Asset Management accepts no legal responsibility or liability for any such data manipulation. The companies/securities below are shown for illustrative purposes only. Their inclusion should not be interpreted as a recommendation to buy or sell. The information is at least 1 month old and is provided for informational purposes only. It cannot be assumed that these types of investments will be available to or will be selected by the fund in the future.                                                                                                                                                                                                          </t>
        </is>
      </c>
      <c r="B3" s="61" t="n"/>
      <c r="C3" s="61" t="n"/>
      <c r="D3" s="61" t="n"/>
      <c r="E3" s="62" t="n"/>
    </row>
    <row r="4" ht="12.75" customHeight="1" s="42">
      <c r="A4" s="63" t="n"/>
      <c r="E4" s="64" t="n"/>
    </row>
    <row r="5" ht="12.75" customHeight="1" s="42">
      <c r="A5" s="63" t="n"/>
      <c r="E5" s="64" t="n"/>
    </row>
    <row r="6">
      <c r="A6" s="65" t="n"/>
      <c r="B6" s="66" t="n"/>
      <c r="C6" s="66" t="n"/>
      <c r="D6" s="66" t="n"/>
      <c r="E6" s="67" t="n"/>
    </row>
    <row r="7" ht="12.75" customHeight="1" s="42">
      <c r="A7" s="5" t="n"/>
      <c r="B7" s="5" t="n"/>
    </row>
    <row r="8" ht="30.75" customHeight="1" s="42">
      <c r="A8" s="4" t="inlineStr">
        <is>
          <t>Full portfolio listing as at close of business 31st March 2022</t>
        </is>
      </c>
    </row>
    <row r="9">
      <c r="A9" s="6" t="n"/>
    </row>
    <row r="10" ht="12" customHeight="1" s="42">
      <c r="A10" s="7" t="inlineStr">
        <is>
          <t>Holding</t>
        </is>
      </c>
      <c r="B10" s="8" t="inlineStr">
        <is>
          <t>Security Description</t>
        </is>
      </c>
      <c r="C10" s="9" t="inlineStr">
        <is>
          <t>Market Value</t>
        </is>
      </c>
      <c r="D10" s="10" t="inlineStr">
        <is>
          <t>% of Fund</t>
        </is>
      </c>
      <c r="E10" s="11" t="inlineStr">
        <is>
          <t>Security No.</t>
        </is>
      </c>
    </row>
    <row r="11" ht="12" customHeight="1" s="42">
      <c r="A11" s="12" t="n"/>
      <c r="B11" s="13" t="n"/>
      <c r="C11" s="14" t="n"/>
      <c r="D11" s="15" t="n"/>
      <c r="E11" s="16" t="n"/>
    </row>
    <row r="12">
      <c r="A12" s="28" t="n">
        <v>842766</v>
      </c>
      <c r="B12" s="2" t="inlineStr">
        <is>
          <t>HALYK SAVINGS BANK OF KAZAKHSTAN JSC GDR USD</t>
        </is>
      </c>
      <c r="C12" s="18" t="n">
        <v>6381633.16</v>
      </c>
      <c r="D12" s="19">
        <f>C12/$C$54</f>
        <v/>
      </c>
      <c r="E12" s="20" t="inlineStr">
        <is>
          <t>B1KDG41</t>
        </is>
      </c>
      <c r="G12" s="3">
        <f>IF(B12="Subtotal"," ",(VLOOKUP(B12,'April 2022'!$B$12:$E$112,4,0)))</f>
        <v/>
      </c>
    </row>
    <row r="13">
      <c r="A13" s="28" t="n">
        <v>97567</v>
      </c>
      <c r="B13" s="2" t="inlineStr">
        <is>
          <t>JSC KASPI.KZ GDR-REG S</t>
        </is>
      </c>
      <c r="C13" s="18" t="n">
        <v>3705122.97</v>
      </c>
      <c r="D13" s="19">
        <f>C13/$C$54</f>
        <v/>
      </c>
      <c r="E13" s="20" t="inlineStr">
        <is>
          <t>BMXZ8G7</t>
        </is>
      </c>
      <c r="G13" s="3">
        <f>IF(B13="Subtotal"," ",(VLOOKUP(B13,'April 2022'!$B$12:$E$112,4,0)))</f>
        <v/>
      </c>
    </row>
    <row r="14">
      <c r="A14" s="28" t="n">
        <v>4198000</v>
      </c>
      <c r="B14" s="2" t="inlineStr">
        <is>
          <t>UNITED CO RUSAL INTERNATIONAL PJSC COMMON STOCK HKD 0.656517</t>
        </is>
      </c>
      <c r="C14" s="18" t="n">
        <v>1994935.13</v>
      </c>
      <c r="D14" s="19">
        <f>C14/$C$54</f>
        <v/>
      </c>
      <c r="E14" s="20" t="inlineStr">
        <is>
          <t>BNGCVV8</t>
        </is>
      </c>
      <c r="G14" s="3">
        <f>IF(B14="Subtotal"," ",(VLOOKUP(B14,'April 2022'!$B$12:$E$112,4,0)))</f>
        <v/>
      </c>
    </row>
    <row r="15">
      <c r="A15" s="28" t="n">
        <v>65502</v>
      </c>
      <c r="B15" s="2" t="inlineStr">
        <is>
          <t>NAC KAZATOMPROM JSC</t>
        </is>
      </c>
      <c r="C15" s="18" t="n">
        <v>1537243.66</v>
      </c>
      <c r="D15" s="19">
        <f>C15/$C$54</f>
        <v/>
      </c>
      <c r="E15" s="20" t="inlineStr">
        <is>
          <t>BGXQL36</t>
        </is>
      </c>
      <c r="G15" s="3">
        <f>IF(B15="Subtotal"," ",(VLOOKUP(B15,'April 2022'!$B$12:$E$112,4,0)))</f>
        <v/>
      </c>
    </row>
    <row r="16">
      <c r="A16" s="28" t="n">
        <v>1851004.17</v>
      </c>
      <c r="B16" s="2" t="inlineStr">
        <is>
          <t>JPM USD LIQUIDITY LVNAV X (DIST.)</t>
        </is>
      </c>
      <c r="C16" s="18" t="n">
        <v>1405843.79</v>
      </c>
      <c r="D16" s="19">
        <f>C16/$C$54</f>
        <v/>
      </c>
      <c r="E16" s="20" t="inlineStr">
        <is>
          <t>7253766</t>
        </is>
      </c>
      <c r="G16" s="3">
        <f>IF(B16="Subtotal"," ",(VLOOKUP(B16,'April 2022'!$B$12:$E$112,4,0)))</f>
        <v/>
      </c>
    </row>
    <row r="17">
      <c r="A17" s="28" t="n">
        <v>8860909</v>
      </c>
      <c r="B17" s="2" t="inlineStr">
        <is>
          <t>GAZPROM PJSC COMMON STOCK RUB</t>
        </is>
      </c>
      <c r="C17" s="18" t="n">
        <v>193812.75</v>
      </c>
      <c r="D17" s="19">
        <f>C17/$C$54</f>
        <v/>
      </c>
      <c r="E17" s="20" t="inlineStr">
        <is>
          <t>0H5796S</t>
        </is>
      </c>
      <c r="G17" s="3">
        <f>IF(B17="Subtotal"," ",(VLOOKUP(B17,'April 2022'!$B$12:$E$112,4,0)))</f>
        <v/>
      </c>
    </row>
    <row r="18">
      <c r="A18" s="28" t="n">
        <v>5365084</v>
      </c>
      <c r="B18" s="2" t="inlineStr">
        <is>
          <t>GAZPROM PJSC ADR</t>
        </is>
      </c>
      <c r="C18" s="18" t="n">
        <v>23690.88</v>
      </c>
      <c r="D18" s="19">
        <f>C18/$C$54</f>
        <v/>
      </c>
      <c r="E18" s="20" t="inlineStr">
        <is>
          <t>0H6364S</t>
        </is>
      </c>
      <c r="G18" s="3">
        <f>IF(B18="Subtotal"," ",(VLOOKUP(B18,'April 2022'!$B$12:$E$112,4,0)))</f>
        <v/>
      </c>
    </row>
    <row r="19" customFormat="1" s="35">
      <c r="A19" s="30" t="n"/>
      <c r="B19" s="27" t="inlineStr">
        <is>
          <t>Subtotal</t>
        </is>
      </c>
      <c r="C19" s="29" t="n">
        <v>217503.63</v>
      </c>
      <c r="D19" s="31">
        <f>C19/$C$54</f>
        <v/>
      </c>
      <c r="E19" s="34" t="inlineStr">
        <is>
          <t> </t>
        </is>
      </c>
      <c r="F19" s="3" t="n"/>
      <c r="G19" s="3">
        <f>IF(B19="Subtotal"," ",(VLOOKUP(B19,'April 2022'!$B$12:$E$112,4,0)))</f>
        <v/>
      </c>
    </row>
    <row r="20">
      <c r="A20" s="28" t="n">
        <v>14455036</v>
      </c>
      <c r="B20" s="2" t="inlineStr">
        <is>
          <t>SBERBANK OF RUSSIA PJSC PREFERENCE RUB 3</t>
        </is>
      </c>
      <c r="C20" s="18" t="n">
        <v>174413.82</v>
      </c>
      <c r="D20" s="19">
        <f>C20/$C$54</f>
        <v/>
      </c>
      <c r="E20" s="20" t="inlineStr">
        <is>
          <t>0H5856S</t>
        </is>
      </c>
      <c r="G20" s="3">
        <f>IF(B20="Subtotal"," ",(VLOOKUP(B20,'April 2022'!$B$12:$E$112,4,0)))</f>
        <v/>
      </c>
    </row>
    <row r="21">
      <c r="A21" s="28" t="n">
        <v>2355925</v>
      </c>
      <c r="B21" s="2" t="inlineStr">
        <is>
          <t>SBERBANK OF RUSSIA PJSC</t>
        </is>
      </c>
      <c r="C21" s="18" t="n">
        <v>28221.04</v>
      </c>
      <c r="D21" s="19">
        <f>C21/$C$54</f>
        <v/>
      </c>
      <c r="E21" s="20" t="inlineStr">
        <is>
          <t>0H5855S</t>
        </is>
      </c>
      <c r="G21" s="3">
        <f>IF(B21="Subtotal"," ",(VLOOKUP(B21,'April 2022'!$B$12:$E$112,4,0)))</f>
        <v/>
      </c>
    </row>
    <row r="22" customFormat="1" s="35">
      <c r="A22" s="30" t="n"/>
      <c r="B22" s="27" t="inlineStr">
        <is>
          <t>Subtotal</t>
        </is>
      </c>
      <c r="C22" s="29" t="n">
        <v>202634.86</v>
      </c>
      <c r="D22" s="31">
        <f>C22/$C$54</f>
        <v/>
      </c>
      <c r="E22" s="34" t="inlineStr">
        <is>
          <t> </t>
        </is>
      </c>
      <c r="F22" s="3" t="n"/>
      <c r="G22" s="3">
        <f>IF(B22="Subtotal"," ",(VLOOKUP(B22,'April 2022'!$B$12:$E$112,4,0)))</f>
        <v/>
      </c>
    </row>
    <row r="23">
      <c r="A23" s="28" t="n">
        <v>71192</v>
      </c>
      <c r="B23" s="2" t="inlineStr">
        <is>
          <t>MMC NORILSK NICKEL PJSC COMMON STOCK RUB 1</t>
        </is>
      </c>
      <c r="C23" s="18" t="n">
        <v>130695.98</v>
      </c>
      <c r="D23" s="19">
        <f>C23/$C$54</f>
        <v/>
      </c>
      <c r="E23" s="20" t="inlineStr">
        <is>
          <t>0H5804S</t>
        </is>
      </c>
      <c r="G23" s="3">
        <f>IF(B23="Subtotal"," ",(VLOOKUP(B23,'April 2022'!$B$12:$E$112,4,0)))</f>
        <v/>
      </c>
    </row>
    <row r="24">
      <c r="A24" s="28" t="n">
        <v>262047</v>
      </c>
      <c r="B24" s="2" t="inlineStr">
        <is>
          <t>LUKOIL PJSC COMMON STOCK RUB</t>
        </is>
      </c>
      <c r="C24" s="18" t="n">
        <v>124110.71</v>
      </c>
      <c r="D24" s="19">
        <f>C24/$C$54</f>
        <v/>
      </c>
      <c r="E24" s="20" t="inlineStr">
        <is>
          <t>0H5797S</t>
        </is>
      </c>
      <c r="G24" s="3">
        <f>IF(B24="Subtotal"," ",(VLOOKUP(B24,'April 2022'!$B$12:$E$112,4,0)))</f>
        <v/>
      </c>
    </row>
    <row r="25">
      <c r="A25" s="28" t="n">
        <v>362649</v>
      </c>
      <c r="B25" s="2" t="inlineStr">
        <is>
          <t>LUKOIL PJSC ADR</t>
        </is>
      </c>
      <c r="C25" s="18" t="n">
        <v>1983.12</v>
      </c>
      <c r="D25" s="19">
        <f>C25/$C$54</f>
        <v/>
      </c>
      <c r="E25" s="20" t="inlineStr">
        <is>
          <t>0H6400S</t>
        </is>
      </c>
      <c r="G25" s="3">
        <f>IF(B25="Subtotal"," ",(VLOOKUP(B25,'April 2022'!$B$12:$E$112,4,0)))</f>
        <v/>
      </c>
    </row>
    <row r="26" customFormat="1" s="35">
      <c r="A26" s="30" t="n"/>
      <c r="B26" s="27" t="inlineStr">
        <is>
          <t>Subtotal</t>
        </is>
      </c>
      <c r="C26" s="29" t="n">
        <v>126093.83</v>
      </c>
      <c r="D26" s="31">
        <f>C26/$C$54</f>
        <v/>
      </c>
      <c r="E26" s="34" t="inlineStr">
        <is>
          <t> </t>
        </is>
      </c>
      <c r="F26" s="3" t="n"/>
      <c r="G26" s="3">
        <f>IF(B26="Subtotal"," ",(VLOOKUP(B26,'April 2022'!$B$12:$E$112,4,0)))</f>
        <v/>
      </c>
    </row>
    <row r="27">
      <c r="A27" s="28" t="n">
        <v>2041744</v>
      </c>
      <c r="B27" s="2" t="inlineStr">
        <is>
          <t>ROSNEFT OIL CO PJSC COMMON STOCK RUB 0.01</t>
        </is>
      </c>
      <c r="C27" s="18" t="n">
        <v>57723.56</v>
      </c>
      <c r="D27" s="19">
        <f>C27/$C$54</f>
        <v/>
      </c>
      <c r="E27" s="20" t="inlineStr">
        <is>
          <t>0H5827S</t>
        </is>
      </c>
      <c r="G27" s="3">
        <f>IF(B27="Subtotal"," ",(VLOOKUP(B27,'April 2022'!$B$12:$E$112,4,0)))</f>
        <v/>
      </c>
    </row>
    <row r="28">
      <c r="A28" s="28" t="n">
        <v>1677948</v>
      </c>
      <c r="B28" s="2" t="inlineStr">
        <is>
          <t>ROSNEFT OIL CO PJSC</t>
        </is>
      </c>
      <c r="C28" s="18" t="n">
        <v>7669.38</v>
      </c>
      <c r="D28" s="19">
        <f>C28/$C$54</f>
        <v/>
      </c>
      <c r="E28" s="20" t="inlineStr">
        <is>
          <t>0H6367S</t>
        </is>
      </c>
      <c r="G28" s="3">
        <f>IF(B28="Subtotal"," ",(VLOOKUP(B28,'April 2022'!$B$12:$E$112,4,0)))</f>
        <v/>
      </c>
    </row>
    <row r="29">
      <c r="A29" s="30" t="n"/>
      <c r="B29" s="27" t="inlineStr">
        <is>
          <t>Subtotal</t>
        </is>
      </c>
      <c r="C29" s="29" t="n">
        <v>65392.94</v>
      </c>
      <c r="D29" s="19">
        <f>C29/$C$54</f>
        <v/>
      </c>
      <c r="E29" s="20" t="inlineStr">
        <is>
          <t> </t>
        </is>
      </c>
      <c r="G29" s="3">
        <f>IF(B29="Subtotal"," ",(VLOOKUP(B29,'April 2022'!$B$12:$E$112,4,0)))</f>
        <v/>
      </c>
    </row>
    <row r="30">
      <c r="A30" s="28" t="n">
        <v>180877</v>
      </c>
      <c r="B30" s="2" t="inlineStr">
        <is>
          <t>MAGNIT PJSC COMMON STOCK RUB 0.01</t>
        </is>
      </c>
      <c r="C30" s="18" t="n">
        <v>51469.04</v>
      </c>
      <c r="D30" s="19">
        <f>C30/$C$54</f>
        <v/>
      </c>
      <c r="E30" s="20" t="inlineStr">
        <is>
          <t>0H5813S</t>
        </is>
      </c>
      <c r="G30" s="3">
        <f>IF(B30="Subtotal"," ",(VLOOKUP(B30,'April 2022'!$B$12:$E$112,4,0)))</f>
        <v/>
      </c>
    </row>
    <row r="31">
      <c r="A31" s="28" t="n">
        <v>1265335</v>
      </c>
      <c r="B31" s="2" t="inlineStr">
        <is>
          <t>GAZPROM NEFT PJSC COMMON STOCK RUB</t>
        </is>
      </c>
      <c r="C31" s="18" t="n">
        <v>46510.92</v>
      </c>
      <c r="D31" s="19">
        <f>C31/$C$54</f>
        <v/>
      </c>
      <c r="E31" s="20" t="inlineStr">
        <is>
          <t>0H5803S</t>
        </is>
      </c>
      <c r="G31" s="3">
        <f>IF(B31="Subtotal"," ",(VLOOKUP(B31,'April 2022'!$B$12:$E$112,4,0)))</f>
        <v/>
      </c>
    </row>
    <row r="32">
      <c r="A32" s="28" t="n">
        <v>730066</v>
      </c>
      <c r="B32" s="2" t="inlineStr">
        <is>
          <t>TATNEFT PJSC COMMON STOCK RUB</t>
        </is>
      </c>
      <c r="C32" s="18" t="n">
        <v>25153.88</v>
      </c>
      <c r="D32" s="19">
        <f>C32/$C$54</f>
        <v/>
      </c>
      <c r="E32" s="20" t="inlineStr">
        <is>
          <t>0H5822S</t>
        </is>
      </c>
      <c r="G32" s="3">
        <f>IF(B32="Subtotal"," ",(VLOOKUP(B32,'April 2022'!$B$12:$E$112,4,0)))</f>
        <v/>
      </c>
    </row>
    <row r="33">
      <c r="A33" s="28" t="n">
        <v>571359</v>
      </c>
      <c r="B33" s="2" t="inlineStr">
        <is>
          <t>TATNEFT PJSC PREFERENCE RUB 1</t>
        </is>
      </c>
      <c r="C33" s="18" t="n">
        <v>17433.12</v>
      </c>
      <c r="D33" s="19">
        <f>C33/$C$54</f>
        <v/>
      </c>
      <c r="E33" s="20" t="inlineStr">
        <is>
          <t>0H5816S</t>
        </is>
      </c>
      <c r="G33" s="3">
        <f>IF(B33="Subtotal"," ",(VLOOKUP(B33,'April 2022'!$B$12:$E$112,4,0)))</f>
        <v/>
      </c>
      <c r="L33" s="24" t="n"/>
      <c r="N33" s="25" t="n"/>
    </row>
    <row r="34" customFormat="1" s="35">
      <c r="A34" s="30" t="n"/>
      <c r="B34" s="27" t="inlineStr">
        <is>
          <t>Subtotal</t>
        </is>
      </c>
      <c r="C34" s="29" t="n">
        <v>42587</v>
      </c>
      <c r="D34" s="31">
        <f>C34/$C$54</f>
        <v/>
      </c>
      <c r="E34" s="34" t="inlineStr">
        <is>
          <t> </t>
        </is>
      </c>
      <c r="F34" s="3" t="n"/>
      <c r="G34" s="3">
        <f>IF(B34="Subtotal"," ",(VLOOKUP(B34,'April 2022'!$B$12:$E$112,4,0)))</f>
        <v/>
      </c>
    </row>
    <row r="35">
      <c r="A35" s="28" t="n">
        <v>6156103</v>
      </c>
      <c r="B35" s="2" t="inlineStr">
        <is>
          <t>ROSTELECOM PJSC COMMON STOCK RUB</t>
        </is>
      </c>
      <c r="C35" s="18" t="n">
        <v>40120.41</v>
      </c>
      <c r="D35" s="19">
        <f>C35/$C$54</f>
        <v/>
      </c>
      <c r="E35" s="20" t="inlineStr">
        <is>
          <t>0H5802S</t>
        </is>
      </c>
      <c r="G35" s="3">
        <f>IF(B35="Subtotal"," ",(VLOOKUP(B35,'April 2022'!$B$12:$E$112,4,0)))</f>
        <v/>
      </c>
    </row>
    <row r="36">
      <c r="A36" s="28" t="n">
        <v>21233273216</v>
      </c>
      <c r="B36" s="2" t="inlineStr">
        <is>
          <t>VTB BANK PJSC COMMON STOCK RUB 0.01</t>
        </is>
      </c>
      <c r="C36" s="18" t="n">
        <v>38381.64</v>
      </c>
      <c r="D36" s="19">
        <f>C36/$C$54</f>
        <v/>
      </c>
      <c r="E36" s="20" t="inlineStr">
        <is>
          <t>0H5837S</t>
        </is>
      </c>
      <c r="G36" s="3">
        <f>IF(B36="Subtotal"," ",(VLOOKUP(B36,'April 2022'!$B$12:$E$112,4,0)))</f>
        <v/>
      </c>
    </row>
    <row r="37">
      <c r="A37" s="28" t="n">
        <v>4003270</v>
      </c>
      <c r="B37" s="2" t="inlineStr">
        <is>
          <t>DETSKY MIR PJSC COMMON STOCK RUB 0.0004</t>
        </is>
      </c>
      <c r="C37" s="18" t="n">
        <v>31493.16</v>
      </c>
      <c r="D37" s="19">
        <f>C37/$C$54</f>
        <v/>
      </c>
      <c r="E37" s="20" t="inlineStr">
        <is>
          <t>0H5850S</t>
        </is>
      </c>
      <c r="G37" s="3">
        <f>IF(B37="Subtotal"," ",(VLOOKUP(B37,'April 2022'!$B$12:$E$112,4,0)))</f>
        <v/>
      </c>
    </row>
    <row r="38">
      <c r="A38" s="28" t="n">
        <v>169819</v>
      </c>
      <c r="B38" s="2" t="inlineStr">
        <is>
          <t>YANDEX NV COMMON STOCK USD 0.01</t>
        </is>
      </c>
      <c r="C38" s="18" t="n">
        <v>24428.45</v>
      </c>
      <c r="D38" s="19">
        <f>C38/$C$54</f>
        <v/>
      </c>
      <c r="E38" s="20" t="inlineStr">
        <is>
          <t>0H6379S</t>
        </is>
      </c>
      <c r="G38" s="3">
        <f>IF(B38="Subtotal"," ",(VLOOKUP(B38,'April 2022'!$B$12:$E$112,4,0)))</f>
        <v/>
      </c>
    </row>
    <row r="39">
      <c r="A39" s="28" t="n">
        <v>432517</v>
      </c>
      <c r="B39" s="2" t="inlineStr">
        <is>
          <t>MD MEDICAL GROUP INVESTMENTS PLC GDR USD</t>
        </is>
      </c>
      <c r="C39" s="18" t="n">
        <v>18724.39</v>
      </c>
      <c r="D39" s="19">
        <f>C39/$C$54</f>
        <v/>
      </c>
      <c r="E39" s="20" t="inlineStr">
        <is>
          <t>0H6371S</t>
        </is>
      </c>
      <c r="G39" s="3">
        <f>IF(B39="Subtotal"," ",(VLOOKUP(B39,'April 2022'!$B$12:$E$112,4,0)))</f>
        <v/>
      </c>
    </row>
    <row r="40">
      <c r="A40" s="28" t="n">
        <v>12313057</v>
      </c>
      <c r="B40" s="2" t="inlineStr">
        <is>
          <t>SISTEMA PJSFC COMMON STOCK RUB 0.09</t>
        </is>
      </c>
      <c r="C40" s="18" t="n">
        <v>14073.63</v>
      </c>
      <c r="D40" s="19">
        <f>C40/$C$54</f>
        <v/>
      </c>
      <c r="E40" s="20" t="inlineStr">
        <is>
          <t>0H5808S</t>
        </is>
      </c>
      <c r="G40" s="3">
        <f>IF(B40="Subtotal"," ",(VLOOKUP(B40,'April 2022'!$B$12:$E$112,4,0)))</f>
        <v/>
      </c>
    </row>
    <row r="41">
      <c r="A41" s="28" t="n">
        <v>103572</v>
      </c>
      <c r="B41" s="2" t="inlineStr">
        <is>
          <t>NOVATEK PJSC COMMON STOCK RUB 0.1</t>
        </is>
      </c>
      <c r="C41" s="18" t="n">
        <v>12079.02</v>
      </c>
      <c r="D41" s="19">
        <f>C41/$C$54</f>
        <v/>
      </c>
      <c r="E41" s="20" t="inlineStr">
        <is>
          <t>2H6464S</t>
        </is>
      </c>
      <c r="G41" s="3">
        <f>IF(B41="Subtotal"," ",(VLOOKUP(B41,'April 2022'!$B$12:$E$112,4,0)))</f>
        <v/>
      </c>
    </row>
    <row r="42">
      <c r="A42" s="28" t="n">
        <v>126849</v>
      </c>
      <c r="B42" s="2" t="inlineStr">
        <is>
          <t>NOVATEK PJSC GDR USD</t>
        </is>
      </c>
      <c r="C42" s="18" t="n">
        <v>626.42</v>
      </c>
      <c r="D42" s="19">
        <f>C42/$C$54</f>
        <v/>
      </c>
      <c r="E42" s="20" t="inlineStr">
        <is>
          <t>0H6366S</t>
        </is>
      </c>
      <c r="G42" s="3">
        <f>IF(B42="Subtotal"," ",(VLOOKUP(B42,'April 2022'!$B$12:$E$112,4,0)))</f>
        <v/>
      </c>
    </row>
    <row r="43" customFormat="1" s="35">
      <c r="A43" s="30" t="n"/>
      <c r="B43" s="27" t="inlineStr">
        <is>
          <t>Subtotal</t>
        </is>
      </c>
      <c r="C43" s="29" t="n">
        <v>12705.44</v>
      </c>
      <c r="D43" s="31">
        <f>C43/$C$54</f>
        <v/>
      </c>
      <c r="E43" s="34" t="inlineStr">
        <is>
          <t> </t>
        </is>
      </c>
      <c r="F43" s="3" t="n"/>
      <c r="G43" s="3">
        <f>IF(B43="Subtotal"," ",(VLOOKUP(B43,'April 2022'!$B$12:$E$112,4,0)))</f>
        <v/>
      </c>
    </row>
    <row r="44">
      <c r="A44" s="28" t="n">
        <v>577525</v>
      </c>
      <c r="B44" s="2" t="inlineStr">
        <is>
          <t>FIX PRICE GROUP LTD GDR</t>
        </is>
      </c>
      <c r="C44" s="18" t="n">
        <v>4123.15</v>
      </c>
      <c r="D44" s="19">
        <f>C44/$C$54</f>
        <v/>
      </c>
      <c r="E44" s="20" t="inlineStr">
        <is>
          <t>0H6372S</t>
        </is>
      </c>
      <c r="G44" s="3">
        <f>IF(B44="Subtotal"," ",(VLOOKUP(B44,'April 2022'!$B$12:$E$112,4,0)))</f>
        <v/>
      </c>
    </row>
    <row r="45">
      <c r="A45" s="28" t="n">
        <v>75226</v>
      </c>
      <c r="B45" s="2" t="inlineStr">
        <is>
          <t>TCS GROUP HOLDING PLC GDR</t>
        </is>
      </c>
      <c r="C45" s="18" t="n">
        <v>1824.3</v>
      </c>
      <c r="D45" s="19">
        <f>C45/$C$54</f>
        <v/>
      </c>
      <c r="E45" s="20" t="inlineStr">
        <is>
          <t>0H6380S</t>
        </is>
      </c>
      <c r="G45" s="3">
        <f>IF(B45="Subtotal"," ",(VLOOKUP(B45,'April 2022'!$B$12:$E$112,4,0)))</f>
        <v/>
      </c>
    </row>
    <row r="46">
      <c r="A46" s="28" t="n">
        <v>59546</v>
      </c>
      <c r="B46" s="2" t="inlineStr">
        <is>
          <t>POLYUS PJSC GDR</t>
        </is>
      </c>
      <c r="C46" s="18" t="n">
        <v>1763.79</v>
      </c>
      <c r="D46" s="19">
        <f>C46/$C$54</f>
        <v/>
      </c>
      <c r="E46" s="20" t="inlineStr">
        <is>
          <t>0H6381S</t>
        </is>
      </c>
      <c r="G46" s="3">
        <f>IF(B46="Subtotal"," ",(VLOOKUP(B46,'April 2022'!$B$12:$E$112,4,0)))</f>
        <v/>
      </c>
    </row>
    <row r="47">
      <c r="A47" s="28" t="n">
        <v>275182</v>
      </c>
      <c r="B47" s="2" t="inlineStr">
        <is>
          <t>X 5 RETAIL GROUP NV-REGS GDR</t>
        </is>
      </c>
      <c r="C47" s="18" t="n">
        <v>1110.64</v>
      </c>
      <c r="D47" s="19">
        <f>C47/$C$54</f>
        <v/>
      </c>
      <c r="E47" s="20" t="inlineStr">
        <is>
          <t>0H6365S</t>
        </is>
      </c>
      <c r="G47" s="3">
        <f>IF(B47="Subtotal"," ",(VLOOKUP(B47,'April 2022'!$B$12:$E$112,4,0)))</f>
        <v/>
      </c>
    </row>
    <row r="48">
      <c r="A48" s="28" t="n">
        <v>365735</v>
      </c>
      <c r="B48" s="2" t="inlineStr">
        <is>
          <t>NOVOLIPETSK STEEL PJSC GDR</t>
        </is>
      </c>
      <c r="C48" s="18" t="n">
        <v>878.33</v>
      </c>
      <c r="D48" s="19">
        <f>C48/$C$54</f>
        <v/>
      </c>
      <c r="E48" s="20" t="inlineStr">
        <is>
          <t>0H6378S</t>
        </is>
      </c>
      <c r="G48" s="3">
        <f>IF(B48="Subtotal"," ",(VLOOKUP(B48,'April 2022'!$B$12:$E$112,4,0)))</f>
        <v/>
      </c>
    </row>
    <row r="49">
      <c r="A49" s="28" t="n">
        <v>552780</v>
      </c>
      <c r="B49" s="2" t="inlineStr">
        <is>
          <t>SEVERSTAL PAO GDR USD</t>
        </is>
      </c>
      <c r="C49" s="18" t="n">
        <v>252.32</v>
      </c>
      <c r="D49" s="19">
        <f>C49/$C$54</f>
        <v/>
      </c>
      <c r="E49" s="20" t="inlineStr">
        <is>
          <t>0H6368S</t>
        </is>
      </c>
      <c r="G49" s="3">
        <f>IF(B49="Subtotal"," ",(VLOOKUP(B49,'April 2022'!$B$12:$E$112,4,0)))</f>
        <v/>
      </c>
    </row>
    <row r="50">
      <c r="C50" s="18" t="n"/>
      <c r="D50" s="19" t="n"/>
      <c r="E50" s="20" t="n"/>
    </row>
    <row r="51">
      <c r="A51" s="21" t="n"/>
      <c r="B51" s="21" t="inlineStr">
        <is>
          <t>Total portfolio</t>
        </is>
      </c>
      <c r="C51" s="39" t="n">
        <v>16097546.56</v>
      </c>
      <c r="D51" s="19">
        <f>C51/$C$54</f>
        <v/>
      </c>
    </row>
    <row r="52">
      <c r="B52" s="21" t="inlineStr">
        <is>
          <t>Net Current Assets</t>
        </is>
      </c>
      <c r="C52" s="39" t="n">
        <v>1151794.88</v>
      </c>
      <c r="D52" s="19">
        <f>C52/$C$54</f>
        <v/>
      </c>
    </row>
    <row r="53">
      <c r="B53" s="3" t="n"/>
      <c r="C53" s="39" t="n"/>
      <c r="D53" s="32" t="n"/>
    </row>
    <row r="54">
      <c r="B54" s="21" t="inlineStr">
        <is>
          <t>Total Assets</t>
        </is>
      </c>
      <c r="C54" s="22">
        <f>C51+C52</f>
        <v/>
      </c>
      <c r="D54" s="36">
        <f>C54/$C$54</f>
        <v/>
      </c>
    </row>
    <row r="55">
      <c r="C55" s="39" t="n"/>
    </row>
    <row r="56">
      <c r="A56" s="58" t="inlineStr">
        <is>
          <t>For MOEX local stock, a fair value adjustment has been applied to the last trade price on 25 February 2022 and for American Depositary Receipts and Global Depositary Receipts a fair value adjustment has been applied to the last trade price on 2 March 2022.</t>
        </is>
      </c>
    </row>
    <row r="57"/>
    <row r="58"/>
    <row r="59"/>
  </sheetData>
  <mergeCells count="2">
    <mergeCell ref="A56:E59"/>
    <mergeCell ref="A3:E6"/>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ANKIT S SHAH</dc:creator>
  <dcterms:created xsi:type="dcterms:W3CDTF">2022-05-30T08:39:36Z</dcterms:created>
  <dcterms:modified xsi:type="dcterms:W3CDTF">2025-12-07T14:23:42Z</dcterms:modified>
  <cp:lastModifiedBy>Shah, Ankit S (AM, IND)</cp:lastModifiedBy>
</cp:coreProperties>
</file>

<file path=docProps/custom.xml><?xml version="1.0" encoding="utf-8"?>
<Properties xmlns:vt="http://schemas.openxmlformats.org/officeDocument/2006/docPropsVTypes" xmlns="http://schemas.openxmlformats.org/officeDocument/2006/custom-properties">
  <property name="HiddenData" fmtid="{D5CDD505-2E9C-101B-9397-08002B2CF9AE}" pid="2">
    <vt:lpwstr>Hidden Contents:
Sheet Name: July 2022 (...)</vt:lpwstr>
  </property>
  <property name="FormulaData" fmtid="{D5CDD505-2E9C-101B-9397-08002B2CF9AE}" pid="3">
    <vt:lpwstr>Formula Contents:
Sheet Name: Feb 2025: D12 (...)</vt:lpwstr>
  </property>
</Properties>
</file>